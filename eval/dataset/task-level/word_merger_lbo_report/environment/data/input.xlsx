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vmlDrawing1.vml" ContentType="application/vnd.openxmlformats-officedocument.vmlDrawing"/>
  <Override PartName="/xl/charts/_rels/chart1.xml.rels" ContentType="application/vnd.openxmlformats-package.relationship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PL-3-Statements" sheetId="1" state="visible" r:id="rId3"/>
    <sheet name="ValSum" sheetId="2" state="visible" r:id="rId4"/>
    <sheet name="Valuation Graph" sheetId="3" state="visible" r:id="rId5"/>
    <sheet name="Public Comps" sheetId="4" state="visible" r:id="rId6"/>
    <sheet name="M&amp;A-Comps" sheetId="5" state="visible" r:id="rId7"/>
    <sheet name="DCF" sheetId="6" state="visible" r:id="rId8"/>
    <sheet name="WACC" sheetId="7" state="visible" r:id="rId9"/>
    <sheet name="Merger-Model" sheetId="8" state="visible" r:id="rId10"/>
    <sheet name="Merger-Shares-BS" sheetId="9" state="visible" r:id="rId11"/>
    <sheet name="Basic-LBO" sheetId="10" state="visible" r:id="rId12"/>
    <sheet name="More-Adv-LBO" sheetId="11" state="visible" r:id="rId13"/>
  </sheets>
  <definedNames>
    <definedName function="false" hidden="false" name="Company_Name" vbProcedure="false">'AAPL-3-Statements'!$E$8</definedName>
    <definedName function="false" hidden="false" name="Date" vbProcedure="false">'AAPL-3-Statements'!$E$7</definedName>
    <definedName function="false" hidden="false" name="Days_In_Year" vbProcedure="false">'AAPL-3-Statements'!$M$7</definedName>
    <definedName function="false" hidden="false" name="Debt_Amount" vbProcedure="false">'AAPL-3-Statements'!$M$8</definedName>
    <definedName function="false" hidden="false" name="Debt_Date" vbProcedure="false">'AAPL-3-Statements'!$I$8</definedName>
    <definedName function="false" hidden="false" name="Diluted_Shares" vbProcedure="false">'AAPL-3-Statements'!$E$13</definedName>
    <definedName function="false" hidden="false" name="Enterprise_Value" vbProcedure="false">'AAPL-3-Statements'!$E$20</definedName>
    <definedName function="false" hidden="false" name="Equity_Value" vbProcedure="false">'AAPL-3-Statements'!$E$14</definedName>
    <definedName function="false" hidden="false" name="Hist_Year" vbProcedure="false">'AAPL-3-Statements'!$I$7</definedName>
    <definedName function="false" hidden="false" name="LIBOR_Units" vbProcedure="false">'More-Adv-LBO'!$F$28</definedName>
    <definedName function="false" hidden="false" name="Purchase_Price" vbProcedure="false">'Merger-Model'!$F$7</definedName>
    <definedName function="false" hidden="false" name="Seller_Name" vbProcedure="false">'Merger-Shares-BS'!$E$7</definedName>
    <definedName function="false" hidden="false" name="Seller_Share_Price" vbProcedure="false">'Merger-Shares-BS'!$E$8</definedName>
    <definedName function="false" hidden="false" name="Share_Price" vbProcedure="false">'AAPL-3-Statements'!$E$9</definedName>
    <definedName function="false" hidden="false" name="Tax_Rate" vbProcedure="false">'AAPL-3-Statements'!$M$9</definedName>
    <definedName function="false" hidden="false" name="Units" vbProcedure="false">'AAPL-3-Statements'!$I$9</definedName>
    <definedName function="false" hidden="false" name="_xlfn_IFERROR" vbProcedure="false"/>
  </definedNames>
  <calcPr iterateCount="100" refMode="A1" iterate="true" iterateDelta="0.001"/>
  <extLst>
    <ext xmlns:loext="http://schemas.libreoffice.org/" uri="{7626C862-2A13-11E5-B345-FEFF819CDC9F}">
      <loext:extCalcPr stringRefSyntax="Calc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b val="true"/>
            <sz val="8"/>
            <color rgb="FF000000"/>
            <rFont val="Tahoma"/>
            <family val="2"/>
          </rPr>
          <t xml:space="preserve">BIWS:
</t>
        </r>
        <r>
          <rPr>
            <sz val="8"/>
            <color rgb="FF000000"/>
            <rFont val="Tahoma"/>
            <family val="2"/>
          </rPr>
          <t xml:space="preserve">Daily 20-year Treasury rate from http://www.ustreas.gov/offices/domestic-finance/debt-management/interest-rate/ltcompositeindex_historical.shtml</t>
        </r>
      </text>
    </comment>
    <comment ref="E7" authorId="0">
      <text>
        <r>
          <rPr>
            <b val="true"/>
            <sz val="8"/>
            <color rgb="FF000000"/>
            <rFont val="Tahoma"/>
            <family val="2"/>
          </rPr>
          <t xml:space="preserve">BIWS:
</t>
        </r>
        <r>
          <rPr>
            <sz val="8"/>
            <color rgb="FF000000"/>
            <rFont val="Tahoma"/>
            <family val="2"/>
          </rPr>
          <t xml:space="preserve">Picked from middle of standard range of 3% - 10%.</t>
        </r>
      </text>
    </comment>
  </commentList>
</comments>
</file>

<file path=xl/sharedStrings.xml><?xml version="1.0" encoding="utf-8"?>
<sst xmlns="http://schemas.openxmlformats.org/spreadsheetml/2006/main" count="902" uniqueCount="438">
  <si>
    <t xml:space="preserve">($ in Millions, Except Per Share Amounts in Dollars and Share Counts in Thousands)</t>
  </si>
  <si>
    <t xml:space="preserve">Assumptions &amp; Valuation Overview</t>
  </si>
  <si>
    <t xml:space="preserve">Valuation Date:</t>
  </si>
  <si>
    <t xml:space="preserve">Last Historical Year:</t>
  </si>
  <si>
    <t xml:space="preserve">Days in Year:</t>
  </si>
  <si>
    <t xml:space="preserve">Company Name:</t>
  </si>
  <si>
    <t xml:space="preserve">Apple Inc.</t>
  </si>
  <si>
    <t xml:space="preserve">Debt Issue Date:</t>
  </si>
  <si>
    <t xml:space="preserve">Debt Amount:</t>
  </si>
  <si>
    <t xml:space="preserve">Share Price:</t>
  </si>
  <si>
    <t xml:space="preserve">Share Units:</t>
  </si>
  <si>
    <t xml:space="preserve">Tax Rate:</t>
  </si>
  <si>
    <t xml:space="preserve">Basic Shares Outstanding:</t>
  </si>
  <si>
    <t xml:space="preserve">Options Calculations (in Thousands Except Exercise Price):</t>
  </si>
  <si>
    <t xml:space="preserve">Basic Equity Value:</t>
  </si>
  <si>
    <t xml:space="preserve">Diluted Shares Outstanding:</t>
  </si>
  <si>
    <t xml:space="preserve">Exercise</t>
  </si>
  <si>
    <t xml:space="preserve">Diluted Equity Value:</t>
  </si>
  <si>
    <t xml:space="preserve">Name</t>
  </si>
  <si>
    <t xml:space="preserve">Number</t>
  </si>
  <si>
    <t xml:space="preserve">Price</t>
  </si>
  <si>
    <t xml:space="preserve">Dilution</t>
  </si>
  <si>
    <t xml:space="preserve">Less: Cash &amp; Investments</t>
  </si>
  <si>
    <t xml:space="preserve">Tranche A</t>
  </si>
  <si>
    <t xml:space="preserve">Plus: Debt</t>
  </si>
  <si>
    <t xml:space="preserve">Tranche B</t>
  </si>
  <si>
    <t xml:space="preserve">Plus: Minority Interest</t>
  </si>
  <si>
    <t xml:space="preserve">Tranche C</t>
  </si>
  <si>
    <t xml:space="preserve">Plus: Preferred Stock</t>
  </si>
  <si>
    <t xml:space="preserve">Tranche D</t>
  </si>
  <si>
    <t xml:space="preserve">Plus: Other Liabilities</t>
  </si>
  <si>
    <t xml:space="preserve">Tranche E</t>
  </si>
  <si>
    <t xml:space="preserve">Enterprise Value:</t>
  </si>
  <si>
    <t xml:space="preserve">Total</t>
  </si>
  <si>
    <t xml:space="preserve">Historical</t>
  </si>
  <si>
    <t xml:space="preserve">Projections</t>
  </si>
  <si>
    <t xml:space="preserve">EV / Revenue:</t>
  </si>
  <si>
    <t xml:space="preserve">EV / EBIT:</t>
  </si>
  <si>
    <t xml:space="preserve">EV / EBITDA:</t>
  </si>
  <si>
    <t xml:space="preserve">Equity Value / FCF:</t>
  </si>
  <si>
    <t xml:space="preserve">P / E:</t>
  </si>
  <si>
    <t xml:space="preserve">P / BV:</t>
  </si>
  <si>
    <t xml:space="preserve">Operating Assumptions</t>
  </si>
  <si>
    <t xml:space="preserve">Revenue Growth %:</t>
  </si>
  <si>
    <t xml:space="preserve">COGS % Revenue:</t>
  </si>
  <si>
    <t xml:space="preserve">R&amp;D % Revenue:</t>
  </si>
  <si>
    <t xml:space="preserve">SG&amp;A % Revenue:</t>
  </si>
  <si>
    <t xml:space="preserve">Stock-Based Compensation % Revenue:</t>
  </si>
  <si>
    <t xml:space="preserve">Depreciation &amp; Amortization % Revenue:</t>
  </si>
  <si>
    <t xml:space="preserve">Effective Cash Interest Rate:</t>
  </si>
  <si>
    <t xml:space="preserve">Debt Interest Rate:</t>
  </si>
  <si>
    <t xml:space="preserve">Effective Tax Rate:</t>
  </si>
  <si>
    <t xml:space="preserve">Accounts Receivable % Revenue:</t>
  </si>
  <si>
    <t xml:space="preserve">Accounts Receivable Days:</t>
  </si>
  <si>
    <t xml:space="preserve">Inventory % COGS:</t>
  </si>
  <si>
    <t xml:space="preserve">Amortization of Intangibles:</t>
  </si>
  <si>
    <t xml:space="preserve">Accounts Payable % COGS:</t>
  </si>
  <si>
    <t xml:space="preserve">Accounts Payable Days:</t>
  </si>
  <si>
    <t xml:space="preserve">Accrued Expenses % Operating Expenses:</t>
  </si>
  <si>
    <t xml:space="preserve">Short-Term Deferred Revenue % Revenue:</t>
  </si>
  <si>
    <t xml:space="preserve">Long-Term Deferred Revenue % Revenue:</t>
  </si>
  <si>
    <t xml:space="preserve">CapEx % Revenue:</t>
  </si>
  <si>
    <t xml:space="preserve">Income Statement</t>
  </si>
  <si>
    <t xml:space="preserve">Revenue:</t>
  </si>
  <si>
    <t xml:space="preserve">Cost of Goods Sold:</t>
  </si>
  <si>
    <t xml:space="preserve">Gross Profit:</t>
  </si>
  <si>
    <t xml:space="preserve">Operating Expenses:</t>
  </si>
  <si>
    <t xml:space="preserve">Research &amp; Development:</t>
  </si>
  <si>
    <t xml:space="preserve">Selling, General &amp; Administrative:</t>
  </si>
  <si>
    <t xml:space="preserve">Total Operating Expenses:</t>
  </si>
  <si>
    <t xml:space="preserve">Depreciation &amp; Amortization of PP&amp;E:</t>
  </si>
  <si>
    <t xml:space="preserve">Stock-Based Compensation:</t>
  </si>
  <si>
    <t xml:space="preserve">Operating Income:</t>
  </si>
  <si>
    <t xml:space="preserve">Interest Income:</t>
  </si>
  <si>
    <t xml:space="preserve">Interest Expense:</t>
  </si>
  <si>
    <t xml:space="preserve">Other Income &amp; Expense:</t>
  </si>
  <si>
    <t xml:space="preserve">Pre-Tax Income:</t>
  </si>
  <si>
    <t xml:space="preserve">Income Tax Provision:</t>
  </si>
  <si>
    <t xml:space="preserve">Net Income:</t>
  </si>
  <si>
    <t xml:space="preserve">Earnings Per Share (EPS):</t>
  </si>
  <si>
    <t xml:space="preserve">EBIT:</t>
  </si>
  <si>
    <t xml:space="preserve">EBITDA:</t>
  </si>
  <si>
    <t xml:space="preserve">Levered Free Cash Flow:</t>
  </si>
  <si>
    <t xml:space="preserve">Book Value Per Share (BV):</t>
  </si>
  <si>
    <t xml:space="preserve">Balance Sheet</t>
  </si>
  <si>
    <t xml:space="preserve">Assets:</t>
  </si>
  <si>
    <t xml:space="preserve">Current Assets:</t>
  </si>
  <si>
    <t xml:space="preserve">Cash &amp; Cash-Equivalents:</t>
  </si>
  <si>
    <t xml:space="preserve">Short-Term Securities:</t>
  </si>
  <si>
    <t xml:space="preserve">Accounts Receivable:</t>
  </si>
  <si>
    <t xml:space="preserve">Inventory:</t>
  </si>
  <si>
    <t xml:space="preserve">Deferred Tax Assets:</t>
  </si>
  <si>
    <t xml:space="preserve">Other Current Assets:</t>
  </si>
  <si>
    <t xml:space="preserve">Total Current Assets:</t>
  </si>
  <si>
    <t xml:space="preserve">Long-Term Assets:</t>
  </si>
  <si>
    <t xml:space="preserve">Long-Term Securities:</t>
  </si>
  <si>
    <t xml:space="preserve">Plants, Property &amp; Equipment:</t>
  </si>
  <si>
    <t xml:space="preserve">Goodwill:</t>
  </si>
  <si>
    <t xml:space="preserve">Other Intangible Assets:</t>
  </si>
  <si>
    <t xml:space="preserve">Other Assets:</t>
  </si>
  <si>
    <t xml:space="preserve">Total Assets:</t>
  </si>
  <si>
    <t xml:space="preserve">Liabilities &amp; Shareholders' Equity:</t>
  </si>
  <si>
    <t xml:space="preserve">Current Liabilities:</t>
  </si>
  <si>
    <t xml:space="preserve">Accounts Payable:</t>
  </si>
  <si>
    <t xml:space="preserve">Accrued Expenses:</t>
  </si>
  <si>
    <t xml:space="preserve">Deferred Revenue:</t>
  </si>
  <si>
    <t xml:space="preserve">Total Current Liabilities:</t>
  </si>
  <si>
    <t xml:space="preserve">Long-Term Liabilities:</t>
  </si>
  <si>
    <t xml:space="preserve">Long-Term Debt:</t>
  </si>
  <si>
    <t xml:space="preserve">Other Long-Term Liabilities:</t>
  </si>
  <si>
    <t xml:space="preserve">Total Liabilities:</t>
  </si>
  <si>
    <t xml:space="preserve">Shareholders' Equity:</t>
  </si>
  <si>
    <t xml:space="preserve">Common Stock:</t>
  </si>
  <si>
    <t xml:space="preserve">Additional Paid-In Capital:</t>
  </si>
  <si>
    <t xml:space="preserve">Treasury Stock:</t>
  </si>
  <si>
    <t xml:space="preserve">Retained Earnings:</t>
  </si>
  <si>
    <t xml:space="preserve">Accumulated Other Comprehensive Income:</t>
  </si>
  <si>
    <t xml:space="preserve">Total Shareholders' Equity:</t>
  </si>
  <si>
    <t xml:space="preserve">Total Liabilities &amp; SE:</t>
  </si>
  <si>
    <t xml:space="preserve">BALANCE CHECK:</t>
  </si>
  <si>
    <t xml:space="preserve">Cash Flow Statement</t>
  </si>
  <si>
    <t xml:space="preserve">Operating Activities:</t>
  </si>
  <si>
    <t xml:space="preserve">Deferred Income Tax Expense:</t>
  </si>
  <si>
    <t xml:space="preserve">Loss on PP&amp;E:</t>
  </si>
  <si>
    <t xml:space="preserve">Changes in Operating Assets &amp; Liabilities:</t>
  </si>
  <si>
    <t xml:space="preserve">Other Liabilities:</t>
  </si>
  <si>
    <t xml:space="preserve">Cash Flow from Operations:</t>
  </si>
  <si>
    <t xml:space="preserve">Investing Activities:</t>
  </si>
  <si>
    <t xml:space="preserve">Purchases of Securities:</t>
  </si>
  <si>
    <t xml:space="preserve">Proceeds from Maturities &amp; Sales:</t>
  </si>
  <si>
    <t xml:space="preserve">Purchases of LT Investments:</t>
  </si>
  <si>
    <t xml:space="preserve">Capital Expenditures:</t>
  </si>
  <si>
    <t xml:space="preserve">Acquisition of Intangibles:</t>
  </si>
  <si>
    <t xml:space="preserve">Other:</t>
  </si>
  <si>
    <t xml:space="preserve">Cash Flow from Investing:</t>
  </si>
  <si>
    <t xml:space="preserve">Financing Activities:</t>
  </si>
  <si>
    <t xml:space="preserve">Proceeds from Common Stock:</t>
  </si>
  <si>
    <t xml:space="preserve">Common Stock Repurchased:</t>
  </si>
  <si>
    <t xml:space="preserve">Dividends Issued:</t>
  </si>
  <si>
    <t xml:space="preserve">Tax Benefits from Stock-Based Comp:</t>
  </si>
  <si>
    <t xml:space="preserve">Raise / (Pay Off) Long-Term Debt</t>
  </si>
  <si>
    <t xml:space="preserve">Cash Used for Equity Awards:</t>
  </si>
  <si>
    <t xml:space="preserve">Cash Flow from Financing:</t>
  </si>
  <si>
    <t xml:space="preserve">Increase / Decrease in Cash:</t>
  </si>
  <si>
    <t xml:space="preserve">Cash &amp; Cash Equivalents:</t>
  </si>
  <si>
    <t xml:space="preserve">25th</t>
  </si>
  <si>
    <t xml:space="preserve">75th</t>
  </si>
  <si>
    <t xml:space="preserve">Applicable</t>
  </si>
  <si>
    <t xml:space="preserve">Minimum</t>
  </si>
  <si>
    <t xml:space="preserve">Pecentile</t>
  </si>
  <si>
    <t xml:space="preserve">Median</t>
  </si>
  <si>
    <t xml:space="preserve">Maximum</t>
  </si>
  <si>
    <t xml:space="preserve">Methodology Name</t>
  </si>
  <si>
    <t xml:space="preserve">Multiple</t>
  </si>
  <si>
    <t xml:space="preserve">Figure</t>
  </si>
  <si>
    <t xml:space="preserve">Public Company Comparables:</t>
  </si>
  <si>
    <t xml:space="preserve">Balance Sheet Adjustment:</t>
  </si>
  <si>
    <t xml:space="preserve">Precedent Transactions:</t>
  </si>
  <si>
    <t xml:space="preserve">Trailing EV / Revenue:</t>
  </si>
  <si>
    <t xml:space="preserve">Forward EV / Revenue:</t>
  </si>
  <si>
    <t xml:space="preserve">Trailing EV / EBITDA:</t>
  </si>
  <si>
    <t xml:space="preserve">Forward EV / EBITDA:</t>
  </si>
  <si>
    <t xml:space="preserve">Discounted Cash Flow Analysis:</t>
  </si>
  <si>
    <t xml:space="preserve">11-15% Discount Rate, 5-9x Terminal Multiple:</t>
  </si>
  <si>
    <t xml:space="preserve">Min.</t>
  </si>
  <si>
    <t xml:space="preserve">Max</t>
  </si>
  <si>
    <t xml:space="preserve">Min Point</t>
  </si>
  <si>
    <t xml:space="preserve">25 Point</t>
  </si>
  <si>
    <t xml:space="preserve">Med Point</t>
  </si>
  <si>
    <t xml:space="preserve">75 Point</t>
  </si>
  <si>
    <t xml:space="preserve">Max Point</t>
  </si>
  <si>
    <t xml:space="preserve">Operating Statistics</t>
  </si>
  <si>
    <t xml:space="preserve">Capitalization</t>
  </si>
  <si>
    <t xml:space="preserve">Projected</t>
  </si>
  <si>
    <t xml:space="preserve">Share</t>
  </si>
  <si>
    <t xml:space="preserve">Diluted</t>
  </si>
  <si>
    <t xml:space="preserve">Equity</t>
  </si>
  <si>
    <t xml:space="preserve">Preferred</t>
  </si>
  <si>
    <t xml:space="preserve">Minority</t>
  </si>
  <si>
    <t xml:space="preserve">Other</t>
  </si>
  <si>
    <t xml:space="preserve">Enterprise</t>
  </si>
  <si>
    <t xml:space="preserve">Revenue</t>
  </si>
  <si>
    <t xml:space="preserve">EBITDA</t>
  </si>
  <si>
    <t xml:space="preserve">EPS</t>
  </si>
  <si>
    <t xml:space="preserve">EBITDA Margin</t>
  </si>
  <si>
    <t xml:space="preserve">Company Name</t>
  </si>
  <si>
    <t xml:space="preserve">Shares</t>
  </si>
  <si>
    <t xml:space="preserve">Value</t>
  </si>
  <si>
    <t xml:space="preserve">Cash</t>
  </si>
  <si>
    <t xml:space="preserve">Debt</t>
  </si>
  <si>
    <t xml:space="preserve">Stock</t>
  </si>
  <si>
    <t xml:space="preserve">Interest</t>
  </si>
  <si>
    <t xml:space="preserve">Liabilities</t>
  </si>
  <si>
    <t xml:space="preserve">Growth</t>
  </si>
  <si>
    <t xml:space="preserve">Hewlett-Packard Company</t>
  </si>
  <si>
    <t xml:space="preserve">Dell Inc.</t>
  </si>
  <si>
    <t xml:space="preserve">Cisco Systems, Inc.</t>
  </si>
  <si>
    <t xml:space="preserve">Intel Corporation</t>
  </si>
  <si>
    <t xml:space="preserve">Motorola, Inc.</t>
  </si>
  <si>
    <t xml:space="preserve">75th Percentile</t>
  </si>
  <si>
    <t xml:space="preserve">25th Percentile</t>
  </si>
  <si>
    <t xml:space="preserve">Valuation Statistics</t>
  </si>
  <si>
    <t xml:space="preserve">Enterprise Value / </t>
  </si>
  <si>
    <t xml:space="preserve">P / E Multiple</t>
  </si>
  <si>
    <t xml:space="preserve">Networking &amp; Hardware M&amp;A Transactions Over $1 Billion with US-Based Sellers Since 1/1/2008</t>
  </si>
  <si>
    <t xml:space="preserve">Operating Metrics</t>
  </si>
  <si>
    <t xml:space="preserve">Valuation Multiples</t>
  </si>
  <si>
    <t xml:space="preserve">EV / </t>
  </si>
  <si>
    <t xml:space="preserve">Trailing</t>
  </si>
  <si>
    <t xml:space="preserve">Forward</t>
  </si>
  <si>
    <t xml:space="preserve">Acquirer Name</t>
  </si>
  <si>
    <t xml:space="preserve">Target Name</t>
  </si>
  <si>
    <t xml:space="preserve">Date</t>
  </si>
  <si>
    <t xml:space="preserve">3Com</t>
  </si>
  <si>
    <t xml:space="preserve">Starent Networks</t>
  </si>
  <si>
    <t xml:space="preserve">Emerson Electric Co.</t>
  </si>
  <si>
    <t xml:space="preserve">Avocent</t>
  </si>
  <si>
    <t xml:space="preserve">EMC Corporation</t>
  </si>
  <si>
    <t xml:space="preserve">Data Domain</t>
  </si>
  <si>
    <t xml:space="preserve">Oracle Corporation</t>
  </si>
  <si>
    <t xml:space="preserve">Sun Microsystems</t>
  </si>
  <si>
    <t xml:space="preserve">Brocade Communication Systems, Inc.</t>
  </si>
  <si>
    <t xml:space="preserve">Foundry Networks</t>
  </si>
  <si>
    <t xml:space="preserve">Use Multiples Method?</t>
  </si>
  <si>
    <t xml:space="preserve">Discount Rate:</t>
  </si>
  <si>
    <t xml:space="preserve">Terminal EBITDA Multiple:</t>
  </si>
  <si>
    <t xml:space="preserve">Less: Taxes</t>
  </si>
  <si>
    <t xml:space="preserve">Terminal Growth Rate:</t>
  </si>
  <si>
    <t xml:space="preserve">Terminal Value:</t>
  </si>
  <si>
    <t xml:space="preserve">Plus: Depreciation</t>
  </si>
  <si>
    <t xml:space="preserve">Plus: Amortization</t>
  </si>
  <si>
    <t xml:space="preserve">PV of Terminal Value:</t>
  </si>
  <si>
    <t xml:space="preserve">Plus: Stock-Based Compensation</t>
  </si>
  <si>
    <t xml:space="preserve">Sum of PV of Cash Flows:</t>
  </si>
  <si>
    <t xml:space="preserve">Less: Increase in Working Capital:</t>
  </si>
  <si>
    <t xml:space="preserve">Less: Capital Expenditures</t>
  </si>
  <si>
    <t xml:space="preserve">Terminal Value % EV:</t>
  </si>
  <si>
    <t xml:space="preserve">Unlevered Free Cash Flow</t>
  </si>
  <si>
    <t xml:space="preserve">Present Value of Free Cash Flow</t>
  </si>
  <si>
    <t xml:space="preserve">Implied Equity Value:</t>
  </si>
  <si>
    <t xml:space="preserve">Normal Discount Period:</t>
  </si>
  <si>
    <t xml:space="preserve">Mid-Year Discount:</t>
  </si>
  <si>
    <t xml:space="preserve">Implied Price Per Share:</t>
  </si>
  <si>
    <t xml:space="preserve">Free Cash Flow Growth Rate:</t>
  </si>
  <si>
    <t xml:space="preserve">Discount Rate</t>
  </si>
  <si>
    <t xml:space="preserve">Terminal Growth Rate</t>
  </si>
  <si>
    <t xml:space="preserve">Terminal EBITDA Multiple</t>
  </si>
  <si>
    <t xml:space="preserve">Discount Rate Calculation - Assumptions</t>
  </si>
  <si>
    <t xml:space="preserve">Risk-Free Rate:</t>
  </si>
  <si>
    <t xml:space="preserve">Equity Risk Premium:</t>
  </si>
  <si>
    <t xml:space="preserve">Interest Rate on Debt:</t>
  </si>
  <si>
    <t xml:space="preserve">Comparable Companies - Unlevered Beta Calculation</t>
  </si>
  <si>
    <t xml:space="preserve">Levered</t>
  </si>
  <si>
    <t xml:space="preserve">Unlevered</t>
  </si>
  <si>
    <t xml:space="preserve">Beta</t>
  </si>
  <si>
    <t xml:space="preserve">Tax Rate</t>
  </si>
  <si>
    <t xml:space="preserve">Cost of Equity Based on Comparables:</t>
  </si>
  <si>
    <t xml:space="preserve">Cost of Equity Based on Historical Beta:</t>
  </si>
  <si>
    <t xml:space="preserve">WACC = Cost of Equity * % Equity + Cost of Debt * % Debt * (1 - Tax Rate) + Cost of Preferred Stock * % Preferred Stock</t>
  </si>
  <si>
    <t xml:space="preserve">WACC</t>
  </si>
  <si>
    <t xml:space="preserve">Transaction Assumptions</t>
  </si>
  <si>
    <t xml:space="preserve">Per Share Purchase Price:</t>
  </si>
  <si>
    <t xml:space="preserve">Equity Purchase Price:</t>
  </si>
  <si>
    <t xml:space="preserve">% Cash:</t>
  </si>
  <si>
    <t xml:space="preserve">Cash Used:</t>
  </si>
  <si>
    <t xml:space="preserve">% Debt:</t>
  </si>
  <si>
    <t xml:space="preserve">Debt Issued:</t>
  </si>
  <si>
    <t xml:space="preserve">% Stock:</t>
  </si>
  <si>
    <t xml:space="preserve">New Shares Issued:</t>
  </si>
  <si>
    <t xml:space="preserve">Foregone Cash Interest Rate:</t>
  </si>
  <si>
    <t xml:space="preserve">Revenue Synergy %:</t>
  </si>
  <si>
    <t xml:space="preserve">Revenue Synergy COGS %:</t>
  </si>
  <si>
    <t xml:space="preserve">Cost Synergies % OpEx:</t>
  </si>
  <si>
    <t xml:space="preserve">Goodwill Creation &amp; Balance Sheet Adjustments</t>
  </si>
  <si>
    <t xml:space="preserve">Goodwill Calculation:</t>
  </si>
  <si>
    <t xml:space="preserve">Fixed Asset Write-Up:</t>
  </si>
  <si>
    <t xml:space="preserve">PP&amp;E Write-Up %:</t>
  </si>
  <si>
    <t xml:space="preserve">Less: Seller Book Value:</t>
  </si>
  <si>
    <t xml:space="preserve">PP&amp;E Write-Up Amount:</t>
  </si>
  <si>
    <t xml:space="preserve">Plus: Write-Off of Existing Goodwill:</t>
  </si>
  <si>
    <t xml:space="preserve">Depreciation Period (Years):</t>
  </si>
  <si>
    <t xml:space="preserve">Total Allocable Purchase Premium:</t>
  </si>
  <si>
    <t xml:space="preserve">Intangible Asset Write-Up:</t>
  </si>
  <si>
    <t xml:space="preserve">Less: Write-Up of PP&amp;E:</t>
  </si>
  <si>
    <t xml:space="preserve">Purchase Price to Allocate:</t>
  </si>
  <si>
    <t xml:space="preserve">Less: Write-Up of Intangibles:</t>
  </si>
  <si>
    <t xml:space="preserve">% Allocated to Intangibles:</t>
  </si>
  <si>
    <t xml:space="preserve">Less: Write-Down of DTL:</t>
  </si>
  <si>
    <t xml:space="preserve">Intangibles Write-Up Amount:</t>
  </si>
  <si>
    <t xml:space="preserve">Plus: New Deferred Tax Liability:</t>
  </si>
  <si>
    <t xml:space="preserve">Amortization Period (Years):</t>
  </si>
  <si>
    <t xml:space="preserve">Total Goodwill Created:</t>
  </si>
  <si>
    <t xml:space="preserve">New Deferred Tax Liability:</t>
  </si>
  <si>
    <t xml:space="preserve">Buyer - Financial Profile</t>
  </si>
  <si>
    <t xml:space="preserve">Seller - Financial Profile</t>
  </si>
  <si>
    <t xml:space="preserve">Buyer Name:</t>
  </si>
  <si>
    <t xml:space="preserve">Seller Name:</t>
  </si>
  <si>
    <t xml:space="preserve">Buyer - Income Statement</t>
  </si>
  <si>
    <t xml:space="preserve">Seller - Income Statement</t>
  </si>
  <si>
    <t xml:space="preserve">Depreciation of PP&amp;E:</t>
  </si>
  <si>
    <t xml:space="preserve">Interest Income / (Expense):</t>
  </si>
  <si>
    <t xml:space="preserve">Combined Income Statement</t>
  </si>
  <si>
    <t xml:space="preserve">Combined Revenue:</t>
  </si>
  <si>
    <t xml:space="preserve">Revenue Synergies:</t>
  </si>
  <si>
    <t xml:space="preserve">Revenue Synergy COGS:</t>
  </si>
  <si>
    <t xml:space="preserve">OpEx Synergies:</t>
  </si>
  <si>
    <t xml:space="preserve">Depr. of PP&amp;E Write-Up:</t>
  </si>
  <si>
    <t xml:space="preserve">Amort. of New Intangibles:</t>
  </si>
  <si>
    <t xml:space="preserve">Interest Income  / (Expense):</t>
  </si>
  <si>
    <t xml:space="preserve">Foregone Interest on Cash:</t>
  </si>
  <si>
    <t xml:space="preserve">Interest Paid on New Debt:</t>
  </si>
  <si>
    <t xml:space="preserve">Accretion / Dilution:</t>
  </si>
  <si>
    <t xml:space="preserve">Accretion / Dilution %:</t>
  </si>
  <si>
    <t xml:space="preserve">Sensitivity Analysis - Year 1 EPS Accretion/Dilution and Purchase Price vs. Operating Expense Synergies:</t>
  </si>
  <si>
    <t xml:space="preserve">Expense Synergies % Seller OpEx:</t>
  </si>
  <si>
    <t xml:space="preserve">Per Share Purchase Price</t>
  </si>
  <si>
    <t xml:space="preserve">Sensitivity Analysis - Year 1 EPS Accretion/Dilution and Purchase Price vs. Revenue Synergies:</t>
  </si>
  <si>
    <t xml:space="preserve">Revenue Synergies % Seller Revenue:</t>
  </si>
  <si>
    <t xml:space="preserve">Diluted Share &amp; Enterprise Value Calculations - Seller</t>
  </si>
  <si>
    <t xml:space="preserve">Research in Motion Limited</t>
  </si>
  <si>
    <t xml:space="preserve">Options Calculations - Current Price:</t>
  </si>
  <si>
    <t xml:space="preserve">Offer Price Per Share:</t>
  </si>
  <si>
    <t xml:space="preserve">Current Share Price:</t>
  </si>
  <si>
    <t xml:space="preserve">Purchase Price:</t>
  </si>
  <si>
    <t xml:space="preserve">Options Calculations - Purchase Price:</t>
  </si>
  <si>
    <t xml:space="preserve">Balance Sheets - Buyer, Seller &amp; Combined</t>
  </si>
  <si>
    <t xml:space="preserve">Buyer</t>
  </si>
  <si>
    <t xml:space="preserve">Seller</t>
  </si>
  <si>
    <t xml:space="preserve">Adjustments</t>
  </si>
  <si>
    <t xml:space="preserve">Combined</t>
  </si>
  <si>
    <t xml:space="preserve">Cash &amp; Short-Term Securities:</t>
  </si>
  <si>
    <t xml:space="preserve">Deferred Income Tax Liability:</t>
  </si>
  <si>
    <t xml:space="preserve">Offer Premium:</t>
  </si>
  <si>
    <t xml:space="preserve">EBITDA Purchase Multiple:</t>
  </si>
  <si>
    <t xml:space="preserve">Debt Required:</t>
  </si>
  <si>
    <t xml:space="preserve">% Equity:</t>
  </si>
  <si>
    <t xml:space="preserve">Equity Used:</t>
  </si>
  <si>
    <t xml:space="preserve">EBITDA Exit Multiple:</t>
  </si>
  <si>
    <t xml:space="preserve">Purchase Price Calculations:</t>
  </si>
  <si>
    <t xml:space="preserve">Advisory Fee %:</t>
  </si>
  <si>
    <t xml:space="preserve">Financing Fee %:</t>
  </si>
  <si>
    <t xml:space="preserve">Debt Assumptions</t>
  </si>
  <si>
    <t xml:space="preserve">Debt %:</t>
  </si>
  <si>
    <t xml:space="preserve">Bank Debt %:</t>
  </si>
  <si>
    <t xml:space="preserve">Bank Debt:</t>
  </si>
  <si>
    <t xml:space="preserve">High-Yield Debt %:</t>
  </si>
  <si>
    <t xml:space="preserve">High-Yield Debt:</t>
  </si>
  <si>
    <t xml:space="preserve">Bank Debt Interest Rate:</t>
  </si>
  <si>
    <t xml:space="preserve">Bank Debt Principal Repayment %:</t>
  </si>
  <si>
    <t xml:space="preserve">High-Yield Debt Interest Rate:</t>
  </si>
  <si>
    <t xml:space="preserve">High-Yield Debt Principal Repayment %:</t>
  </si>
  <si>
    <t xml:space="preserve">Sources &amp; Uses</t>
  </si>
  <si>
    <t xml:space="preserve">Sources:</t>
  </si>
  <si>
    <t xml:space="preserve">Uses:</t>
  </si>
  <si>
    <t xml:space="preserve">Equity Value of Company:</t>
  </si>
  <si>
    <t xml:space="preserve">Advisory Fees:</t>
  </si>
  <si>
    <t xml:space="preserve">Investor Equity:</t>
  </si>
  <si>
    <t xml:space="preserve">Financing Fees:</t>
  </si>
  <si>
    <t xml:space="preserve">Total Sources:</t>
  </si>
  <si>
    <t xml:space="preserve">Total Uses:</t>
  </si>
  <si>
    <t xml:space="preserve">Initial Cash Balance:</t>
  </si>
  <si>
    <t xml:space="preserve">Minimum Cash Balance:</t>
  </si>
  <si>
    <t xml:space="preserve">Change in Working Capital % Revenue:</t>
  </si>
  <si>
    <t xml:space="preserve">Decrease (Increase) in Working Capital:</t>
  </si>
  <si>
    <t xml:space="preserve">Free Cash Flow:</t>
  </si>
  <si>
    <t xml:space="preserve">Beginning Cash Balance:</t>
  </si>
  <si>
    <t xml:space="preserve">Plus: Free Cash Flow:</t>
  </si>
  <si>
    <t xml:space="preserve">Less: Minimum Cash Balance:</t>
  </si>
  <si>
    <t xml:space="preserve">Cash Available for Debt Repayment:</t>
  </si>
  <si>
    <t xml:space="preserve">Cash Used for Debt Repayment:</t>
  </si>
  <si>
    <t xml:space="preserve">Net Change in Cash:</t>
  </si>
  <si>
    <t xml:space="preserve">Ending Cash Balance:</t>
  </si>
  <si>
    <t xml:space="preserve">Debt &amp; Interest Schedules</t>
  </si>
  <si>
    <t xml:space="preserve">Beginning Bank Debt:</t>
  </si>
  <si>
    <t xml:space="preserve">Mandatory Repayment:</t>
  </si>
  <si>
    <t xml:space="preserve">Optional Repayment:</t>
  </si>
  <si>
    <t xml:space="preserve">Ending Bank Debt:</t>
  </si>
  <si>
    <t xml:space="preserve">Beginning High-Yield Debt:</t>
  </si>
  <si>
    <t xml:space="preserve">Ending High-Yield Debt:</t>
  </si>
  <si>
    <t xml:space="preserve">Interest Paid on Debt:</t>
  </si>
  <si>
    <t xml:space="preserve">Interest Earned on Cash:</t>
  </si>
  <si>
    <t xml:space="preserve">Net Interest Income / (Expense):</t>
  </si>
  <si>
    <t xml:space="preserve">Investor Returns</t>
  </si>
  <si>
    <t xml:space="preserve">EBITDA Multiple:</t>
  </si>
  <si>
    <t xml:space="preserve">IRR:</t>
  </si>
  <si>
    <t xml:space="preserve">Sensitivity Analysis - 5-Year IRR and Purchase Premium vs. Exit Multiple</t>
  </si>
  <si>
    <t xml:space="preserve">Exit Multiple:</t>
  </si>
  <si>
    <t xml:space="preserve">Purchase Premium / Per-Share Price</t>
  </si>
  <si>
    <t xml:space="preserve">Sensitivity Analysis - 5-Year IRR and Purchase Premium vs. % Debt:</t>
  </si>
  <si>
    <t xml:space="preserve">Leverage Ratio:</t>
  </si>
  <si>
    <t xml:space="preserve">Legal &amp; Misc. Fees:</t>
  </si>
  <si>
    <t xml:space="preserve">Units for LIBOR:</t>
  </si>
  <si>
    <t xml:space="preserve">Revolver:</t>
  </si>
  <si>
    <t xml:space="preserve">Term Loan A %:</t>
  </si>
  <si>
    <t xml:space="preserve">Term Loan A:</t>
  </si>
  <si>
    <t xml:space="preserve">Term Loan B %:</t>
  </si>
  <si>
    <t xml:space="preserve">Term Loan B:</t>
  </si>
  <si>
    <t xml:space="preserve">Subordinated Note %:</t>
  </si>
  <si>
    <t xml:space="preserve">Subordinated Note:</t>
  </si>
  <si>
    <t xml:space="preserve">PIK Loan %:</t>
  </si>
  <si>
    <t xml:space="preserve">PIK Loan:</t>
  </si>
  <si>
    <t xml:space="preserve">Interest Rates:</t>
  </si>
  <si>
    <t xml:space="preserve">Principal Repayment %:</t>
  </si>
  <si>
    <t xml:space="preserve">N/A</t>
  </si>
  <si>
    <t xml:space="preserve">Excess Cash:</t>
  </si>
  <si>
    <t xml:space="preserve">Capitalized Financing Fees:</t>
  </si>
  <si>
    <t xml:space="preserve">Financing Fees Amortization Period:</t>
  </si>
  <si>
    <t xml:space="preserve">Transaction Adjustments</t>
  </si>
  <si>
    <t xml:space="preserve">Debit</t>
  </si>
  <si>
    <t xml:space="preserve">Credit</t>
  </si>
  <si>
    <t xml:space="preserve">Depreciation of PP&amp;E Write-Up:</t>
  </si>
  <si>
    <t xml:space="preserve">New Intangibles Amortization:</t>
  </si>
  <si>
    <t xml:space="preserve">Amortization of Financing Fees:</t>
  </si>
  <si>
    <t xml:space="preserve">Existing Long-Term Debt:</t>
  </si>
  <si>
    <t xml:space="preserve">Deferred Tax Liability:</t>
  </si>
  <si>
    <t xml:space="preserve">Sponsor Common Equity:</t>
  </si>
  <si>
    <t xml:space="preserve">Accrual of PIK Note:</t>
  </si>
  <si>
    <t xml:space="preserve">Cash Flow Available for Debt Repayment:</t>
  </si>
  <si>
    <t xml:space="preserve">Total Cash Flow Used to Repay Debt:</t>
  </si>
  <si>
    <t xml:space="preserve">Net Change in Cash &amp; Cash Equivalents:</t>
  </si>
  <si>
    <t xml:space="preserve">LIBOR Curve:</t>
  </si>
  <si>
    <t xml:space="preserve">Fixed</t>
  </si>
  <si>
    <t xml:space="preserve">Interest Rate Assumptions:</t>
  </si>
  <si>
    <t xml:space="preserve">LIBOR + </t>
  </si>
  <si>
    <t xml:space="preserve">Interest Income / (Expense) Calculations:</t>
  </si>
  <si>
    <t xml:space="preserve">Cash:</t>
  </si>
  <si>
    <t xml:space="preserve">Sources of Funds:</t>
  </si>
  <si>
    <t xml:space="preserve">Plus: Cash Flow Available for Debt Repayment:</t>
  </si>
  <si>
    <t xml:space="preserve">Subtotal Before Revolver:</t>
  </si>
  <si>
    <t xml:space="preserve">Revolver Borrowing Required:</t>
  </si>
  <si>
    <t xml:space="preserve">Total Sources of Funds:</t>
  </si>
  <si>
    <t xml:space="preserve">Uses of Funds:</t>
  </si>
  <si>
    <t xml:space="preserve">Mandatory Debt Repayment:</t>
  </si>
  <si>
    <t xml:space="preserve">Mandatory Repayment Total:</t>
  </si>
  <si>
    <t xml:space="preserve">Optional Debt Repayment:</t>
  </si>
  <si>
    <t xml:space="preserve">Optional Repayment Total:</t>
  </si>
  <si>
    <t xml:space="preserve">Cash Generated on Balance Sheet:</t>
  </si>
  <si>
    <t xml:space="preserve">Total Uses of Funds:</t>
  </si>
</sst>
</file>

<file path=xl/styles.xml><?xml version="1.0" encoding="utf-8"?>
<styleSheet xmlns="http://schemas.openxmlformats.org/spreadsheetml/2006/main">
  <numFmts count="36">
    <numFmt numFmtId="164" formatCode="General"/>
    <numFmt numFmtId="165" formatCode="General"/>
    <numFmt numFmtId="166" formatCode="[$-409]m/d/yyyy"/>
    <numFmt numFmtId="167" formatCode="\$#,##0_);[RED]&quot;($&quot;#,##0\)"/>
    <numFmt numFmtId="168" formatCode="0%"/>
    <numFmt numFmtId="169" formatCode="\$#,##0.00_);[RED]&quot;($&quot;#,##0.00\)"/>
    <numFmt numFmtId="170" formatCode="#,##0"/>
    <numFmt numFmtId="171" formatCode="0.0&quot; x&quot;"/>
    <numFmt numFmtId="172" formatCode="0.0%"/>
    <numFmt numFmtId="173" formatCode="#,##0.0"/>
    <numFmt numFmtId="174" formatCode="\$#,##0"/>
    <numFmt numFmtId="175" formatCode="#,##0.00"/>
    <numFmt numFmtId="176" formatCode="\$#,##0_);&quot;($&quot;#,##0\)"/>
    <numFmt numFmtId="177" formatCode="0.0%;[RED]\(0.0%\)"/>
    <numFmt numFmtId="178" formatCode="\$#,##0.000_);[RED]&quot;($&quot;#,##0.000\)"/>
    <numFmt numFmtId="179" formatCode="_(\$* #,##0.0_);_(\$* \(#,##0.0\);_(\$* \-?_);_(@_)"/>
    <numFmt numFmtId="180" formatCode="_(\$* #,##0.00_);_(\$* \(#,##0.00\);_(\$* \-??_);_(@_)"/>
    <numFmt numFmtId="181" formatCode="_(* #,##0.00_);_(* \(#,##0.00\);_(* \-??_);_(@_)"/>
    <numFmt numFmtId="182" formatCode="_(* #,##0.0_);_(* \(#,##0.0\);_(* \-?_);_(@_)"/>
    <numFmt numFmtId="183" formatCode="\$#,##0.00"/>
    <numFmt numFmtId="184" formatCode="_(\$* #,##0_);_(\$* \(#,##0\);_(\$* \-_);_(@_)"/>
    <numFmt numFmtId="185" formatCode="_(\$* #,##0_);[RED]_(\$* \(#,##0\);_(\$* \-_);_(@_)"/>
    <numFmt numFmtId="186" formatCode="_(\$* #,##0.00_);[RED]_(\$* \(#,##0.00\);_(\$* \-??_);_(@_)"/>
    <numFmt numFmtId="187" formatCode="_(* #,##0_);_(* \(#,##0\);_(* \-_);_(@_)"/>
    <numFmt numFmtId="188" formatCode="_(* #,##0_);[RED]_(* \(#,##0\);_(* \-_);_(@_)"/>
    <numFmt numFmtId="189" formatCode="_(* #,##0.00_);[RED]_(* \(#,##0.00\);_(* \-??_);_(@_)"/>
    <numFmt numFmtId="190" formatCode="0.0%;\(0.0%\)"/>
    <numFmt numFmtId="191" formatCode="[$-409]#,##0_);\(#,##0\)"/>
    <numFmt numFmtId="192" formatCode="m/d/yyyy;@"/>
    <numFmt numFmtId="193" formatCode="0.000"/>
    <numFmt numFmtId="194" formatCode="&quot;Yes&quot;;&quot;Yes&quot;;&quot;No&quot;"/>
    <numFmt numFmtId="195" formatCode="[$-409]#,##0_);[RED]\(#,##0\)"/>
    <numFmt numFmtId="196" formatCode="0.00%;\(0.00%\)"/>
    <numFmt numFmtId="197" formatCode="0.00%"/>
    <numFmt numFmtId="198" formatCode="&quot;L +  &quot;##"/>
    <numFmt numFmtId="199" formatCode="\$#,##0.0_);[RED]&quot;($&quot;#,##0.0\)"/>
  </numFmts>
  <fonts count="29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u val="single"/>
      <sz val="10"/>
      <color rgb="FFFFFFFF"/>
      <name val="Arial"/>
      <family val="2"/>
    </font>
    <font>
      <u val="single"/>
      <sz val="10"/>
      <color rgb="FFFFFFFF"/>
      <name val="Arial"/>
      <family val="2"/>
    </font>
    <font>
      <sz val="11"/>
      <color rgb="FF333399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i val="true"/>
      <sz val="11"/>
      <color rgb="FF000000"/>
      <name val="Calibri"/>
      <family val="2"/>
    </font>
    <font>
      <i val="true"/>
      <sz val="11"/>
      <color rgb="FF333399"/>
      <name val="Calibri"/>
      <family val="2"/>
    </font>
    <font>
      <i val="true"/>
      <sz val="11"/>
      <name val="Calibri"/>
      <family val="2"/>
    </font>
    <font>
      <b val="true"/>
      <sz val="11"/>
      <color rgb="FF008000"/>
      <name val="Calibri"/>
      <family val="2"/>
    </font>
    <font>
      <b val="true"/>
      <sz val="11"/>
      <color rgb="FF333399"/>
      <name val="Calibri"/>
      <family val="2"/>
    </font>
    <font>
      <sz val="11"/>
      <color rgb="FF008000"/>
      <name val="Calibri"/>
      <family val="2"/>
    </font>
    <font>
      <sz val="11"/>
      <color rgb="FF0066CC"/>
      <name val="Calibri"/>
      <family val="2"/>
    </font>
    <font>
      <i val="true"/>
      <sz val="11"/>
      <color rgb="FF008000"/>
      <name val="Calibri"/>
      <family val="2"/>
    </font>
    <font>
      <b val="true"/>
      <i val="true"/>
      <sz val="11"/>
      <color rgb="FF008000"/>
      <name val="Calibri"/>
      <family val="2"/>
    </font>
    <font>
      <b val="true"/>
      <u val="single"/>
      <sz val="11"/>
      <color rgb="FFFFFFFF"/>
      <name val="Calibri"/>
      <family val="2"/>
    </font>
    <font>
      <sz val="11"/>
      <color rgb="FFFFFFFF"/>
      <name val="Calibri"/>
      <family val="2"/>
    </font>
    <font>
      <u val="single"/>
      <sz val="11"/>
      <color rgb="FFFFFFFF"/>
      <name val="Calibri"/>
      <family val="2"/>
    </font>
    <font>
      <b val="true"/>
      <sz val="11"/>
      <color rgb="FF003366"/>
      <name val="Calibri"/>
      <family val="2"/>
    </font>
    <font>
      <sz val="10"/>
      <color rgb="FF000000"/>
      <name val="Calibri"/>
      <family val="2"/>
    </font>
    <font>
      <sz val="9.2"/>
      <color rgb="FF000000"/>
      <name val="Calibri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99CCFF"/>
        <bgColor rgb="FF8EB4E3"/>
      </patternFill>
    </fill>
    <fill>
      <patternFill patternType="solid">
        <fgColor rgb="FFCCCCFF"/>
        <bgColor rgb="FFC0C0C0"/>
      </patternFill>
    </fill>
    <fill>
      <patternFill patternType="solid">
        <fgColor rgb="FF0066CC"/>
        <bgColor rgb="FF008080"/>
      </patternFill>
    </fill>
    <fill>
      <patternFill patternType="solid">
        <fgColor rgb="FF333399"/>
        <bgColor rgb="FF003366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2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1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1" fillId="3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2" fontId="10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9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4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6" fillId="6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93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1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4" fillId="0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1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1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0" fontId="10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0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80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71" fontId="11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9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17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3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5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5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6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8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80" fontId="6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6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6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6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6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9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7" fontId="1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7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4" xfId="0" applyFont="false" applyBorder="true" applyAlignment="true" applyProtection="false">
      <alignment horizontal="left" vertical="bottom" textRotation="0" wrapText="false" indent="2" shrinkToFit="false"/>
      <protection locked="true" hidden="false"/>
    </xf>
    <xf numFmtId="167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6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175043327556326"/>
          <c:y val="0.0401770514130065"/>
          <c:w val="0.843951473136915"/>
          <c:h val="0.94041538985359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" "</c:f>
              <c:strCache>
                <c:ptCount val="1"/>
                <c:pt idx="0">
                  <c:v> 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Graph'!$L$26:$L$39</c:f>
              <c:numCache>
                <c:formatCode>_(\$* #,##0.00_);_(\$* \(#,##0.00\);_(\$* \-??_);_(@_)</c:formatCode>
                <c:ptCount val="14"/>
                <c:pt idx="0">
                  <c:v>163.884677361143</c:v>
                </c:pt>
                <c:pt idx="2">
                  <c:v>211.189993057538</c:v>
                </c:pt>
                <c:pt idx="3">
                  <c:v>162.401585012135</c:v>
                </c:pt>
                <c:pt idx="4">
                  <c:v>63.6584033672013</c:v>
                </c:pt>
                <c:pt idx="5">
                  <c:v>57.4085446581714</c:v>
                </c:pt>
                <c:pt idx="7">
                  <c:v>126.677595117924</c:v>
                </c:pt>
                <c:pt idx="8">
                  <c:v>136.103242712059</c:v>
                </c:pt>
                <c:pt idx="9">
                  <c:v>103.835229626333</c:v>
                </c:pt>
                <c:pt idx="10">
                  <c:v>101.491621675081</c:v>
                </c:pt>
                <c:pt idx="11">
                  <c:v>54.3153655915866</c:v>
                </c:pt>
                <c:pt idx="12">
                  <c:v>52.1172228460319</c:v>
                </c:pt>
              </c:numCache>
            </c:numRef>
          </c:val>
        </c:ser>
        <c:ser>
          <c:idx val="1"/>
          <c:order val="1"/>
          <c:tx>
            <c:strRef>
              <c:f>"Min to 25th"</c:f>
              <c:strCache>
                <c:ptCount val="1"/>
                <c:pt idx="0">
                  <c:v>Min to 25th</c:v>
                </c:pt>
              </c:strCache>
            </c:strRef>
          </c:tx>
          <c:spPr>
            <a:noFill/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Graph'!$M$26:$M$39</c:f>
              <c:numCache>
                <c:formatCode>_(\$* #,##0.00_);_(\$* \(#,##0.00\);_(\$* \-??_);_(@_)</c:formatCode>
                <c:ptCount val="14"/>
                <c:pt idx="0">
                  <c:v>18.3089695132487</c:v>
                </c:pt>
                <c:pt idx="2">
                  <c:v>66.5129654194544</c:v>
                </c:pt>
                <c:pt idx="3">
                  <c:v>40.5920478248665</c:v>
                </c:pt>
                <c:pt idx="4">
                  <c:v>99.6515287144536</c:v>
                </c:pt>
                <c:pt idx="5">
                  <c:v>71.6689989022632</c:v>
                </c:pt>
                <c:pt idx="7">
                  <c:v>14.2595079126793</c:v>
                </c:pt>
                <c:pt idx="8">
                  <c:v>9.66512653444841</c:v>
                </c:pt>
                <c:pt idx="9">
                  <c:v>25.2279599719898</c:v>
                </c:pt>
                <c:pt idx="10">
                  <c:v>41.531939054489</c:v>
                </c:pt>
                <c:pt idx="11">
                  <c:v>12.3084412810503</c:v>
                </c:pt>
                <c:pt idx="12">
                  <c:v>7.52586127061258</c:v>
                </c:pt>
              </c:numCache>
            </c:numRef>
          </c:val>
        </c:ser>
        <c:ser>
          <c:idx val="2"/>
          <c:order val="2"/>
          <c:tx>
            <c:strRef>
              <c:f>"25th to Median"</c:f>
              <c:strCache>
                <c:ptCount val="1"/>
                <c:pt idx="0">
                  <c:v>25th to Median</c:v>
                </c:pt>
              </c:strCache>
            </c:strRef>
          </c:tx>
          <c:spPr>
            <a:solidFill>
              <a:srgbClr val="558ed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Graph'!$N$26:$N$39</c:f>
              <c:numCache>
                <c:formatCode>_(\$* #,##0.00_);_(\$* \(#,##0.00\);_(\$* \-??_);_(@_)</c:formatCode>
                <c:ptCount val="14"/>
                <c:pt idx="0">
                  <c:v>19.7859453378003</c:v>
                </c:pt>
                <c:pt idx="2">
                  <c:v>102.055658949936</c:v>
                </c:pt>
                <c:pt idx="3">
                  <c:v>41.2974732298545</c:v>
                </c:pt>
                <c:pt idx="4">
                  <c:v>34.7313375955011</c:v>
                </c:pt>
                <c:pt idx="5">
                  <c:v>36.7389340573255</c:v>
                </c:pt>
                <c:pt idx="7">
                  <c:v>47.7386504529215</c:v>
                </c:pt>
                <c:pt idx="8">
                  <c:v>33.4257944358255</c:v>
                </c:pt>
                <c:pt idx="9">
                  <c:v>8.47465798841964</c:v>
                </c:pt>
                <c:pt idx="10">
                  <c:v>3.87493831036915</c:v>
                </c:pt>
                <c:pt idx="11">
                  <c:v>30.2064382694178</c:v>
                </c:pt>
                <c:pt idx="12">
                  <c:v>29.4362669002997</c:v>
                </c:pt>
              </c:numCache>
            </c:numRef>
          </c:val>
        </c:ser>
        <c:ser>
          <c:idx val="3"/>
          <c:order val="3"/>
          <c:tx>
            <c:strRef>
              <c:f>"Median to 75th"</c:f>
              <c:strCache>
                <c:ptCount val="1"/>
                <c:pt idx="0">
                  <c:v>Median to 75th</c:v>
                </c:pt>
              </c:strCache>
            </c:strRef>
          </c:tx>
          <c:spPr>
            <a:solidFill>
              <a:srgbClr val="8eb4e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Graph'!$O$26:$O$39</c:f>
              <c:numCache>
                <c:formatCode>_(\$* #,##0.00_);_(\$* \(#,##0.00\);_(\$* \-??_);_(@_)</c:formatCode>
                <c:ptCount val="14"/>
                <c:pt idx="0">
                  <c:v>21.3793358539816</c:v>
                </c:pt>
                <c:pt idx="2">
                  <c:v>86.0035578295281</c:v>
                </c:pt>
                <c:pt idx="3">
                  <c:v>41.2427222399394</c:v>
                </c:pt>
                <c:pt idx="4">
                  <c:v>130.620434287432</c:v>
                </c:pt>
                <c:pt idx="5">
                  <c:v>153.800109938903</c:v>
                </c:pt>
                <c:pt idx="7">
                  <c:v>3.87133131899279</c:v>
                </c:pt>
                <c:pt idx="8">
                  <c:v>84.9153445878451</c:v>
                </c:pt>
                <c:pt idx="9">
                  <c:v>23.4055929829735</c:v>
                </c:pt>
                <c:pt idx="10">
                  <c:v>43.1769647591882</c:v>
                </c:pt>
                <c:pt idx="11">
                  <c:v>76.9672064147411</c:v>
                </c:pt>
                <c:pt idx="12">
                  <c:v>81.286545860736</c:v>
                </c:pt>
              </c:numCache>
            </c:numRef>
          </c:val>
        </c:ser>
        <c:ser>
          <c:idx val="4"/>
          <c:order val="4"/>
          <c:tx>
            <c:strRef>
              <c:f>"75th to Max"</c:f>
              <c:strCache>
                <c:ptCount val="1"/>
                <c:pt idx="0">
                  <c:v>75th to Max</c:v>
                </c:pt>
              </c:strCache>
            </c:strRef>
          </c:tx>
          <c:spPr>
            <a:noFill/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Graph'!$B$26:$B$39</c:f>
              <c:strCache>
                <c:ptCount val="14"/>
                <c:pt idx="0">
                  <c:v>11-15% Discount Rate, 5-9x Terminal Multiple:</c:v>
                </c:pt>
                <c:pt idx="1">
                  <c:v/>
                </c:pt>
                <c:pt idx="2">
                  <c:v>Forward EV / EBITDA:</c:v>
                </c:pt>
                <c:pt idx="3">
                  <c:v>Trailing EV / EBITDA:</c:v>
                </c:pt>
                <c:pt idx="4">
                  <c:v>Forward EV / Revenue:</c:v>
                </c:pt>
                <c:pt idx="5">
                  <c:v>Trailing EV / Revenue:</c:v>
                </c:pt>
                <c:pt idx="6">
                  <c:v/>
                </c:pt>
                <c:pt idx="7">
                  <c:v>2010E P / E:</c:v>
                </c:pt>
                <c:pt idx="8">
                  <c:v>2009 P / E:</c:v>
                </c:pt>
                <c:pt idx="9">
                  <c:v>2010E EV / EBITDA:</c:v>
                </c:pt>
                <c:pt idx="10">
                  <c:v>2009 EV / EBITDA:</c:v>
                </c:pt>
                <c:pt idx="11">
                  <c:v>2010E EV / Revenue:</c:v>
                </c:pt>
                <c:pt idx="12">
                  <c:v>2009 EV / Revenue:</c:v>
                </c:pt>
                <c:pt idx="13">
                  <c:v/>
                </c:pt>
              </c:strCache>
            </c:strRef>
          </c:cat>
          <c:val>
            <c:numRef>
              <c:f>'Valuation Graph'!$P$26:$P$39</c:f>
              <c:numCache>
                <c:formatCode>_(\$* #,##0.00_);_(\$* \(#,##0.00\);_(\$* \-??_);_(@_)</c:formatCode>
                <c:ptCount val="14"/>
                <c:pt idx="0">
                  <c:v>23.0989253590719</c:v>
                </c:pt>
                <c:pt idx="2">
                  <c:v>159.854366558105</c:v>
                </c:pt>
                <c:pt idx="3">
                  <c:v>320.864571312839</c:v>
                </c:pt>
                <c:pt idx="4">
                  <c:v>144.19159592716</c:v>
                </c:pt>
                <c:pt idx="5">
                  <c:v>104.700471889215</c:v>
                </c:pt>
                <c:pt idx="7">
                  <c:v>323.949930444557</c:v>
                </c:pt>
                <c:pt idx="8">
                  <c:v>164.133776990507</c:v>
                </c:pt>
                <c:pt idx="9">
                  <c:v>27.0073321032377</c:v>
                </c:pt>
                <c:pt idx="10">
                  <c:v>13.3349008675874</c:v>
                </c:pt>
                <c:pt idx="11">
                  <c:v>15.6341463974939</c:v>
                </c:pt>
                <c:pt idx="12">
                  <c:v>10.9256586518426</c:v>
                </c:pt>
              </c:numCache>
            </c:numRef>
          </c:val>
        </c:ser>
        <c:gapWidth val="150"/>
        <c:overlap val="100"/>
        <c:axId val="3299703"/>
        <c:axId val="40406379"/>
      </c:barChart>
      <c:catAx>
        <c:axId val="3299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06379"/>
        <c:crossesAt val="0"/>
        <c:auto val="1"/>
        <c:lblAlgn val="ctr"/>
        <c:lblOffset val="100"/>
        <c:noMultiLvlLbl val="0"/>
      </c:catAx>
      <c:valAx>
        <c:axId val="40406379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numFmt formatCode="\$#,##0.0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9703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68734835355286"/>
          <c:y val="0.370786516853933"/>
          <c:w val="0.0905025996533796"/>
          <c:h val="0.2552774940415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2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808080"/>
      </a:solidFill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14</xdr:col>
      <xdr:colOff>25920</xdr:colOff>
      <xdr:row>23</xdr:row>
      <xdr:rowOff>37800</xdr:rowOff>
    </xdr:to>
    <xdr:graphicFrame>
      <xdr:nvGraphicFramePr>
        <xdr:cNvPr id="0" name="Chart 1"/>
        <xdr:cNvGraphicFramePr/>
      </xdr:nvGraphicFramePr>
      <xdr:xfrm>
        <a:off x="240840" y="190440"/>
        <a:ext cx="10385640" cy="422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0.0725129982668978</cdr:x>
      <cdr:y>0.0242594484167518</cdr:y>
    </cdr:from>
    <cdr:to>
      <cdr:x>0.322253032928943</cdr:x>
      <cdr:y>0.0792475314947225</cdr:y>
    </cdr:to>
    <cdr:sp>
      <cdr:nvSpPr>
        <cdr:cNvPr id="1" name="TextBox 1"/>
        <cdr:cNvSpPr/>
      </cdr:nvSpPr>
      <cdr:spPr>
        <a:xfrm>
          <a:off x="753120" y="102600"/>
          <a:ext cx="2593800" cy="232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1" sz="1100" spc="-1" strike="noStrike">
              <a:solidFill>
                <a:srgbClr val="003366"/>
              </a:solidFill>
              <a:latin typeface="Calibri"/>
            </a:rPr>
            <a:t>Public Company Comparables</a:t>
          </a:r>
          <a:endParaRPr b="0" sz="1100" spc="-1" strike="noStrike">
            <a:latin typeface="DejaVu Serif"/>
          </a:endParaRPr>
        </a:p>
      </cdr:txBody>
    </cdr:sp>
  </cdr:relSizeAnchor>
  <cdr:relSizeAnchor>
    <cdr:from>
      <cdr:x>0.120762564991334</cdr:x>
      <cdr:y>0.467994552264215</cdr:y>
    </cdr:from>
    <cdr:to>
      <cdr:x>0.32</cdr:x>
      <cdr:y>0.522982635342186</cdr:y>
    </cdr:to>
    <cdr:sp>
      <cdr:nvSpPr>
        <cdr:cNvPr id="2" name="TextBox 1"/>
        <cdr:cNvSpPr/>
      </cdr:nvSpPr>
      <cdr:spPr>
        <a:xfrm>
          <a:off x="1254240" y="1979280"/>
          <a:ext cx="2069280" cy="232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1" sz="1100" spc="-1" strike="noStrike">
              <a:solidFill>
                <a:srgbClr val="003366"/>
              </a:solidFill>
              <a:latin typeface="Calibri"/>
            </a:rPr>
            <a:t>Precedent Transactions</a:t>
          </a:r>
          <a:endParaRPr b="0" sz="1100" spc="-1" strike="noStrike">
            <a:latin typeface="DejaVu Serif"/>
          </a:endParaRPr>
        </a:p>
      </cdr:txBody>
    </cdr:sp>
  </cdr:relSizeAnchor>
  <cdr:relSizeAnchor>
    <cdr:from>
      <cdr:x>0.0715077989601387</cdr:x>
      <cdr:y>0.791028260129384</cdr:y>
    </cdr:from>
    <cdr:to>
      <cdr:x>0.323743500866551</cdr:x>
      <cdr:y>0.841504937010555</cdr:y>
    </cdr:to>
    <cdr:sp>
      <cdr:nvSpPr>
        <cdr:cNvPr id="3" name="TextBox 1"/>
        <cdr:cNvSpPr/>
      </cdr:nvSpPr>
      <cdr:spPr>
        <a:xfrm>
          <a:off x="742680" y="3345480"/>
          <a:ext cx="2619720" cy="213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1" sz="1100" spc="-1" strike="noStrike">
              <a:solidFill>
                <a:srgbClr val="003366"/>
              </a:solidFill>
              <a:latin typeface="Calibri"/>
            </a:rPr>
            <a:t>Discounted Cash Flow Analysis</a:t>
          </a:r>
          <a:endParaRPr b="0" sz="1100" spc="-1" strike="noStrike">
            <a:latin typeface="DejaVu Serif"/>
          </a:endParaRPr>
        </a:p>
      </cdr:txBody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1" outlineLevelCol="0"/>
  <cols>
    <col collapsed="false" customWidth="true" hidden="false" outlineLevel="0" max="1" min="1" style="0" width="2.71"/>
    <col collapsed="false" customWidth="true" hidden="false" outlineLevel="0" max="4" min="4" style="0" width="9.14"/>
    <col collapsed="false" customWidth="true" hidden="false" outlineLevel="0" max="5" min="5" style="0" width="9.71"/>
    <col collapsed="false" customWidth="true" hidden="false" outlineLevel="0" max="7" min="6" style="0" width="9.14"/>
    <col collapsed="false" customWidth="true" hidden="false" outlineLevel="0" max="15" min="15" style="0" width="9.28"/>
  </cols>
  <sheetData>
    <row r="2" customFormat="false" ht="15" hidden="false" customHeight="false" outlineLevel="0" collapsed="false">
      <c r="B2" s="1" t="str">
        <f aca="false">Company_Name&amp;" - Financial Statements"</f>
        <v>Apple Inc. - Financial Statements</v>
      </c>
    </row>
    <row r="3" customFormat="false" ht="15" hidden="false" customHeight="false" outlineLevel="0" collapsed="false">
      <c r="B3" s="2" t="s">
        <v>0</v>
      </c>
    </row>
    <row r="5" customFormat="false" ht="15" hidden="false" customHeight="false" outlineLevel="0" collapsed="false">
      <c r="B5" s="3" t="s">
        <v>1</v>
      </c>
      <c r="C5" s="4"/>
      <c r="D5" s="4"/>
      <c r="E5" s="4"/>
      <c r="F5" s="4"/>
      <c r="G5" s="4"/>
      <c r="H5" s="5"/>
      <c r="I5" s="5"/>
      <c r="J5" s="5"/>
      <c r="K5" s="5"/>
      <c r="L5" s="5"/>
      <c r="M5" s="6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customFormat="false" ht="15" hidden="false" customHeight="false" outlineLevel="0" collapsed="false">
      <c r="B7" s="10" t="s">
        <v>2</v>
      </c>
      <c r="C7" s="8"/>
      <c r="D7" s="8"/>
      <c r="E7" s="11" t="n">
        <v>40207</v>
      </c>
      <c r="F7" s="8"/>
      <c r="G7" s="12" t="s">
        <v>3</v>
      </c>
      <c r="H7" s="8"/>
      <c r="I7" s="13" t="n">
        <v>2009</v>
      </c>
      <c r="J7" s="8"/>
      <c r="K7" s="12" t="s">
        <v>4</v>
      </c>
      <c r="L7" s="8"/>
      <c r="M7" s="14" t="n">
        <v>360</v>
      </c>
    </row>
    <row r="8" customFormat="false" ht="15" hidden="false" customHeight="false" outlineLevel="0" collapsed="false">
      <c r="B8" s="10" t="s">
        <v>5</v>
      </c>
      <c r="C8" s="8"/>
      <c r="E8" s="13" t="s">
        <v>6</v>
      </c>
      <c r="G8" s="12" t="s">
        <v>7</v>
      </c>
      <c r="H8" s="8"/>
      <c r="I8" s="13" t="n">
        <v>2010</v>
      </c>
      <c r="J8" s="8"/>
      <c r="K8" s="12" t="s">
        <v>8</v>
      </c>
      <c r="L8" s="8"/>
      <c r="M8" s="15" t="n">
        <v>1000</v>
      </c>
    </row>
    <row r="9" customFormat="false" ht="15" hidden="false" customHeight="false" outlineLevel="0" collapsed="false">
      <c r="B9" s="10" t="s">
        <v>9</v>
      </c>
      <c r="C9" s="8"/>
      <c r="D9" s="16"/>
      <c r="E9" s="17" t="n">
        <v>192.06</v>
      </c>
      <c r="G9" s="1" t="s">
        <v>10</v>
      </c>
      <c r="I9" s="13" t="n">
        <v>1000</v>
      </c>
      <c r="K9" s="1" t="s">
        <v>11</v>
      </c>
      <c r="M9" s="18" t="n">
        <v>0.3</v>
      </c>
    </row>
    <row r="10" customFormat="false" ht="15" hidden="false" customHeight="false" outlineLevel="0" collapsed="false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customFormat="false" ht="15" hidden="false" customHeight="false" outlineLevel="0" collapsed="false">
      <c r="B11" s="10" t="s">
        <v>12</v>
      </c>
      <c r="C11" s="8"/>
      <c r="D11" s="8"/>
      <c r="E11" s="19" t="n">
        <v>900678.473</v>
      </c>
      <c r="F11" s="8"/>
      <c r="G11" s="12" t="s">
        <v>13</v>
      </c>
      <c r="H11" s="8"/>
      <c r="I11" s="8"/>
      <c r="J11" s="8"/>
      <c r="K11" s="8"/>
      <c r="L11" s="8"/>
      <c r="M11" s="9"/>
    </row>
    <row r="12" customFormat="false" ht="15" hidden="false" customHeight="false" outlineLevel="0" collapsed="false">
      <c r="B12" s="10" t="s">
        <v>14</v>
      </c>
      <c r="C12" s="8"/>
      <c r="D12" s="8"/>
      <c r="E12" s="20" t="n">
        <f aca="false">E11/Units*Share_Price</f>
        <v>172984.30752438</v>
      </c>
      <c r="F12" s="8"/>
      <c r="G12" s="8"/>
      <c r="H12" s="8"/>
      <c r="I12" s="8"/>
      <c r="J12" s="8"/>
      <c r="K12" s="8"/>
      <c r="L12" s="8"/>
      <c r="M12" s="9"/>
    </row>
    <row r="13" customFormat="false" ht="15" hidden="false" customHeight="false" outlineLevel="0" collapsed="false">
      <c r="B13" s="10" t="s">
        <v>15</v>
      </c>
      <c r="C13" s="8"/>
      <c r="D13" s="8"/>
      <c r="E13" s="21" t="n">
        <f aca="false">E11+J20</f>
        <v>920525.623630012</v>
      </c>
      <c r="F13" s="8"/>
      <c r="G13" s="22"/>
      <c r="H13" s="22"/>
      <c r="I13" s="23" t="s">
        <v>16</v>
      </c>
      <c r="J13" s="23"/>
      <c r="K13" s="8"/>
      <c r="L13" s="8"/>
      <c r="M13" s="9"/>
    </row>
    <row r="14" customFormat="false" ht="15" hidden="false" customHeight="false" outlineLevel="0" collapsed="false">
      <c r="B14" s="10" t="s">
        <v>17</v>
      </c>
      <c r="C14" s="8"/>
      <c r="D14" s="8"/>
      <c r="E14" s="20" t="n">
        <f aca="false">E13/Units*Share_Price</f>
        <v>176796.15127438</v>
      </c>
      <c r="F14" s="8"/>
      <c r="G14" s="24" t="s">
        <v>18</v>
      </c>
      <c r="H14" s="25" t="s">
        <v>19</v>
      </c>
      <c r="I14" s="25" t="s">
        <v>20</v>
      </c>
      <c r="J14" s="24" t="s">
        <v>21</v>
      </c>
      <c r="K14" s="8"/>
      <c r="L14" s="8"/>
      <c r="M14" s="9"/>
    </row>
    <row r="15" customFormat="false" ht="15" hidden="false" customHeight="false" outlineLevel="0" collapsed="false">
      <c r="B15" s="26" t="s">
        <v>22</v>
      </c>
      <c r="C15" s="8"/>
      <c r="D15" s="8"/>
      <c r="E15" s="27" t="n">
        <f aca="false">H99+H100+H108</f>
        <v>35395</v>
      </c>
      <c r="F15" s="8"/>
      <c r="G15" s="28" t="s">
        <v>23</v>
      </c>
      <c r="H15" s="19" t="n">
        <v>34375</v>
      </c>
      <c r="I15" s="17" t="n">
        <v>81.17</v>
      </c>
      <c r="J15" s="21" t="n">
        <f aca="false">IF(I15&gt;Share_Price,0,H15-H15*I15/Share_Price)</f>
        <v>19847.1506300115</v>
      </c>
      <c r="K15" s="8"/>
      <c r="L15" s="8"/>
      <c r="M15" s="9"/>
    </row>
    <row r="16" customFormat="false" ht="15" hidden="false" customHeight="false" outlineLevel="0" collapsed="false">
      <c r="B16" s="26" t="s">
        <v>24</v>
      </c>
      <c r="C16" s="8"/>
      <c r="D16" s="8"/>
      <c r="E16" s="27" t="n">
        <f aca="false">H124</f>
        <v>0</v>
      </c>
      <c r="F16" s="8"/>
      <c r="G16" s="28" t="s">
        <v>25</v>
      </c>
      <c r="H16" s="19"/>
      <c r="I16" s="17"/>
      <c r="J16" s="21"/>
      <c r="K16" s="8"/>
      <c r="L16" s="8"/>
      <c r="M16" s="9"/>
      <c r="O16" s="29"/>
    </row>
    <row r="17" customFormat="false" ht="15" hidden="false" customHeight="false" outlineLevel="0" collapsed="false">
      <c r="B17" s="26" t="s">
        <v>26</v>
      </c>
      <c r="C17" s="8"/>
      <c r="D17" s="8"/>
      <c r="E17" s="30" t="n">
        <v>0</v>
      </c>
      <c r="F17" s="8"/>
      <c r="G17" s="28" t="s">
        <v>27</v>
      </c>
      <c r="H17" s="19"/>
      <c r="I17" s="17"/>
      <c r="J17" s="21"/>
      <c r="K17" s="8"/>
      <c r="L17" s="8"/>
      <c r="M17" s="9"/>
      <c r="O17" s="29"/>
      <c r="P17" s="29"/>
    </row>
    <row r="18" customFormat="false" ht="15" hidden="false" customHeight="false" outlineLevel="0" collapsed="false">
      <c r="B18" s="26" t="s">
        <v>28</v>
      </c>
      <c r="C18" s="8"/>
      <c r="D18" s="8"/>
      <c r="E18" s="30" t="n">
        <v>0</v>
      </c>
      <c r="F18" s="8"/>
      <c r="G18" s="31" t="s">
        <v>29</v>
      </c>
      <c r="H18" s="19"/>
      <c r="I18" s="17"/>
      <c r="J18" s="21"/>
      <c r="K18" s="8"/>
      <c r="L18" s="8"/>
      <c r="M18" s="9"/>
      <c r="O18" s="29"/>
      <c r="P18" s="29"/>
    </row>
    <row r="19" customFormat="false" ht="15" hidden="false" customHeight="false" outlineLevel="0" collapsed="false">
      <c r="B19" s="26" t="s">
        <v>30</v>
      </c>
      <c r="C19" s="8"/>
      <c r="D19" s="8"/>
      <c r="E19" s="30" t="n">
        <v>0</v>
      </c>
      <c r="F19" s="8"/>
      <c r="G19" s="31" t="s">
        <v>31</v>
      </c>
      <c r="H19" s="19"/>
      <c r="I19" s="17"/>
      <c r="J19" s="21"/>
      <c r="K19" s="8"/>
      <c r="L19" s="8"/>
      <c r="M19" s="9"/>
      <c r="O19" s="29"/>
    </row>
    <row r="20" customFormat="false" ht="15" hidden="false" customHeight="false" outlineLevel="0" collapsed="false">
      <c r="B20" s="10" t="s">
        <v>32</v>
      </c>
      <c r="C20" s="8"/>
      <c r="D20" s="8"/>
      <c r="E20" s="32" t="n">
        <f aca="false">Equity_Value-E15+E16+E17+E18+E19</f>
        <v>141401.15127438</v>
      </c>
      <c r="F20" s="8"/>
      <c r="G20" s="33" t="s">
        <v>33</v>
      </c>
      <c r="H20" s="34"/>
      <c r="I20" s="34"/>
      <c r="J20" s="35" t="n">
        <f aca="false">SUM(J15:J19)</f>
        <v>19847.1506300115</v>
      </c>
      <c r="K20" s="8"/>
      <c r="L20" s="8"/>
      <c r="M20" s="9"/>
      <c r="O20" s="29"/>
    </row>
    <row r="21" customFormat="false" ht="15" hidden="false" customHeight="false" outlineLevel="0" collapsed="false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9"/>
    </row>
    <row r="22" customFormat="false" ht="15" hidden="false" customHeight="false" outlineLevel="0" collapsed="false">
      <c r="B22" s="7"/>
      <c r="C22" s="8"/>
      <c r="D22" s="8"/>
      <c r="E22" s="8"/>
      <c r="F22" s="36" t="s">
        <v>34</v>
      </c>
      <c r="G22" s="36"/>
      <c r="H22" s="36"/>
      <c r="I22" s="37" t="s">
        <v>35</v>
      </c>
      <c r="J22" s="37"/>
      <c r="K22" s="37"/>
      <c r="L22" s="37"/>
      <c r="M22" s="37"/>
      <c r="O22" s="29"/>
    </row>
    <row r="23" customFormat="false" ht="15" hidden="true" customHeight="false" outlineLevel="1" collapsed="false">
      <c r="B23" s="7"/>
      <c r="C23" s="8"/>
      <c r="D23" s="8"/>
      <c r="E23" s="8"/>
      <c r="F23" s="38" t="n">
        <f aca="false">G23-1</f>
        <v>2007</v>
      </c>
      <c r="G23" s="38" t="n">
        <f aca="false">H23-1</f>
        <v>2008</v>
      </c>
      <c r="H23" s="39" t="n">
        <f aca="false">Hist_Year</f>
        <v>2009</v>
      </c>
      <c r="I23" s="38" t="n">
        <f aca="false">H23+1</f>
        <v>2010</v>
      </c>
      <c r="J23" s="38" t="n">
        <f aca="false">I23+1</f>
        <v>2011</v>
      </c>
      <c r="K23" s="38" t="n">
        <f aca="false">J23+1</f>
        <v>2012</v>
      </c>
      <c r="L23" s="38" t="n">
        <f aca="false">K23+1</f>
        <v>2013</v>
      </c>
      <c r="M23" s="39" t="n">
        <f aca="false">L23+1</f>
        <v>2014</v>
      </c>
    </row>
    <row r="24" customFormat="false" ht="15" hidden="false" customHeight="false" outlineLevel="0" collapsed="false">
      <c r="B24" s="7"/>
      <c r="C24" s="8"/>
      <c r="D24" s="8"/>
      <c r="E24" s="8"/>
      <c r="F24" s="38" t="str">
        <f aca="false">"FY "&amp;Hist_Year-2</f>
        <v>FY 2007</v>
      </c>
      <c r="G24" s="38" t="str">
        <f aca="false">"FY "&amp;Hist_Year-1</f>
        <v>FY 2008</v>
      </c>
      <c r="H24" s="39" t="str">
        <f aca="false">"FY "&amp;Hist_Year</f>
        <v>FY 2009</v>
      </c>
      <c r="I24" s="38" t="str">
        <f aca="false">"FY "&amp;Hist_Year+1&amp;"E"</f>
        <v>FY 2010E</v>
      </c>
      <c r="J24" s="38" t="str">
        <f aca="false">"FY "&amp;Hist_Year+2&amp;"E"</f>
        <v>FY 2011E</v>
      </c>
      <c r="K24" s="38" t="str">
        <f aca="false">"FY "&amp;Hist_Year+3&amp;"E"</f>
        <v>FY 2012E</v>
      </c>
      <c r="L24" s="38" t="str">
        <f aca="false">"FY "&amp;Hist_Year+4&amp;"E"</f>
        <v>FY 2013E</v>
      </c>
      <c r="M24" s="39" t="str">
        <f aca="false">"FY "&amp;Hist_Year+5&amp;"E"</f>
        <v>FY 2014E</v>
      </c>
    </row>
    <row r="25" customFormat="false" ht="15" hidden="false" customHeight="false" outlineLevel="0" collapsed="false">
      <c r="B25" s="7"/>
      <c r="C25" s="8"/>
      <c r="D25" s="8"/>
      <c r="E25" s="8"/>
      <c r="F25" s="40"/>
      <c r="G25" s="40"/>
      <c r="H25" s="40"/>
      <c r="I25" s="40"/>
      <c r="J25" s="40"/>
      <c r="K25" s="40"/>
      <c r="L25" s="40"/>
      <c r="M25" s="41"/>
    </row>
    <row r="26" customFormat="false" ht="15" hidden="false" customHeight="false" outlineLevel="0" collapsed="false">
      <c r="B26" s="10" t="s">
        <v>36</v>
      </c>
      <c r="C26" s="8"/>
      <c r="D26" s="8"/>
      <c r="E26" s="8"/>
      <c r="F26" s="42" t="n">
        <f aca="false">Enterprise_Value/F66</f>
        <v>5.75315938133209</v>
      </c>
      <c r="G26" s="42" t="n">
        <f aca="false">Enterprise_Value/G66</f>
        <v>3.77160255192926</v>
      </c>
      <c r="H26" s="42" t="n">
        <f aca="false">Enterprise_Value/H66</f>
        <v>3.29568002037944</v>
      </c>
      <c r="I26" s="42" t="n">
        <f aca="false">Enterprise_Value/I66</f>
        <v>2.63654401630355</v>
      </c>
      <c r="J26" s="42" t="n">
        <f aca="false">Enterprise_Value/J66</f>
        <v>2.25345642419107</v>
      </c>
      <c r="K26" s="42" t="n">
        <f aca="false">Enterprise_Value/K66</f>
        <v>2.03014092269466</v>
      </c>
      <c r="L26" s="42" t="n">
        <f aca="false">Enterprise_Value/L66</f>
        <v>1.86251460797675</v>
      </c>
      <c r="M26" s="43" t="n">
        <f aca="false">Enterprise_Value/M66</f>
        <v>1.7406678579222</v>
      </c>
    </row>
    <row r="27" customFormat="false" ht="15" hidden="false" customHeight="false" outlineLevel="0" collapsed="false">
      <c r="B27" s="10" t="s">
        <v>37</v>
      </c>
      <c r="C27" s="8"/>
      <c r="D27" s="8"/>
      <c r="E27" s="8"/>
      <c r="F27" s="42" t="n">
        <f aca="false">Enterprise_Value/F90</f>
        <v>30.4153906806582</v>
      </c>
      <c r="G27" s="42" t="n">
        <f aca="false">Enterprise_Value/G90</f>
        <v>15.990178816508</v>
      </c>
      <c r="H27" s="42" t="n">
        <f aca="false">Enterprise_Value/H90</f>
        <v>11.3575221907133</v>
      </c>
      <c r="I27" s="42" t="n">
        <f aca="false">Enterprise_Value/I90</f>
        <v>9.10943155254502</v>
      </c>
      <c r="J27" s="42" t="n">
        <f aca="false">Enterprise_Value/J90</f>
        <v>7.78163989705536</v>
      </c>
      <c r="K27" s="42" t="n">
        <f aca="false">Enterprise_Value/K90</f>
        <v>7.00594658439684</v>
      </c>
      <c r="L27" s="42" t="n">
        <f aca="false">Enterprise_Value/L90</f>
        <v>6.4223592787848</v>
      </c>
      <c r="M27" s="43" t="n">
        <f aca="false">Enterprise_Value/M90</f>
        <v>6.00120890124941</v>
      </c>
    </row>
    <row r="28" customFormat="false" ht="15" hidden="false" customHeight="false" outlineLevel="0" collapsed="false">
      <c r="B28" s="10" t="s">
        <v>38</v>
      </c>
      <c r="C28" s="8"/>
      <c r="D28" s="8"/>
      <c r="E28" s="8"/>
      <c r="F28" s="42" t="n">
        <f aca="false">Enterprise_Value/F91</f>
        <v>28.4166300792564</v>
      </c>
      <c r="G28" s="42" t="n">
        <f aca="false">Enterprise_Value/G91</f>
        <v>15.1409306429361</v>
      </c>
      <c r="H28" s="42" t="n">
        <f aca="false">Enterprise_Value/H91</f>
        <v>10.7252086828262</v>
      </c>
      <c r="I28" s="42" t="n">
        <f aca="false">Enterprise_Value/I91</f>
        <v>8.58016694626092</v>
      </c>
      <c r="J28" s="42" t="n">
        <f aca="false">Enterprise_Value/J91</f>
        <v>7.33347602244523</v>
      </c>
      <c r="K28" s="42" t="n">
        <f aca="false">Enterprise_Value/K91</f>
        <v>6.60673515535606</v>
      </c>
      <c r="L28" s="42" t="n">
        <f aca="false">Enterprise_Value/L91</f>
        <v>6.0612249131707</v>
      </c>
      <c r="M28" s="43" t="n">
        <f aca="false">Enterprise_Value/M91</f>
        <v>5.66469618053336</v>
      </c>
    </row>
    <row r="29" customFormat="false" ht="15" hidden="false" customHeight="false" outlineLevel="0" collapsed="false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9"/>
    </row>
    <row r="30" customFormat="false" ht="15" hidden="false" customHeight="false" outlineLevel="0" collapsed="false">
      <c r="B30" s="10" t="s">
        <v>39</v>
      </c>
      <c r="C30" s="8"/>
      <c r="D30" s="8"/>
      <c r="E30" s="8"/>
      <c r="F30" s="42" t="n">
        <f aca="false">Equity_Value/F92</f>
        <v>37.3381523282745</v>
      </c>
      <c r="G30" s="42" t="n">
        <f aca="false">Equity_Value/G92</f>
        <v>20.7873193738248</v>
      </c>
      <c r="H30" s="42" t="n">
        <f aca="false">Equity_Value/H92</f>
        <v>17.1463632309553</v>
      </c>
      <c r="I30" s="42" t="n">
        <f aca="false">Equity_Value/I92</f>
        <v>13.536470357116</v>
      </c>
      <c r="J30" s="42" t="n">
        <f aca="false">Equity_Value/J92</f>
        <v>12.094069463153</v>
      </c>
      <c r="K30" s="42" t="n">
        <f aca="false">Equity_Value/K92</f>
        <v>10.9418414120309</v>
      </c>
      <c r="L30" s="42" t="n">
        <f aca="false">Equity_Value/L92</f>
        <v>10.0984347572305</v>
      </c>
      <c r="M30" s="43" t="n">
        <f aca="false">Equity_Value/M92</f>
        <v>9.12181438880676</v>
      </c>
    </row>
    <row r="31" customFormat="false" ht="15" hidden="false" customHeight="false" outlineLevel="0" collapsed="false">
      <c r="B31" s="10" t="s">
        <v>40</v>
      </c>
      <c r="C31" s="8"/>
      <c r="D31" s="8"/>
      <c r="E31" s="8"/>
      <c r="F31" s="42" t="n">
        <f aca="false">Share_Price/F87</f>
        <v>48.8690762575107</v>
      </c>
      <c r="G31" s="42" t="n">
        <f aca="false">Share_Price/G87</f>
        <v>28.3158712763523</v>
      </c>
      <c r="H31" s="42" t="n">
        <f aca="false">Share_Price/H87</f>
        <v>21.1535373770492</v>
      </c>
      <c r="I31" s="42" t="n">
        <f aca="false">Share_Price/I87</f>
        <v>16.5746672179583</v>
      </c>
      <c r="J31" s="42" t="n">
        <f aca="false">Share_Price/J87</f>
        <v>14.1312103419079</v>
      </c>
      <c r="K31" s="42" t="n">
        <f aca="false">Share_Price/K87</f>
        <v>12.2087207592668</v>
      </c>
      <c r="L31" s="42" t="n">
        <f aca="false">Share_Price/L87</f>
        <v>11.0847175201617</v>
      </c>
      <c r="M31" s="43" t="n">
        <f aca="false">Share_Price/M87</f>
        <v>9.81652815710586</v>
      </c>
    </row>
    <row r="32" customFormat="false" ht="15" hidden="false" customHeight="false" outlineLevel="0" collapsed="false">
      <c r="B32" s="44" t="s">
        <v>41</v>
      </c>
      <c r="C32" s="45"/>
      <c r="D32" s="45"/>
      <c r="E32" s="45"/>
      <c r="F32" s="46"/>
      <c r="G32" s="46" t="n">
        <f aca="false">Share_Price/G93</f>
        <v>7.94610485393258</v>
      </c>
      <c r="H32" s="46" t="n">
        <f aca="false">Share_Price/H93</f>
        <v>5.55766272013783</v>
      </c>
      <c r="I32" s="46" t="n">
        <f aca="false">Share_Price/I93</f>
        <v>4.07184113991893</v>
      </c>
      <c r="J32" s="46" t="n">
        <f aca="false">Share_Price/J93</f>
        <v>3.10050852068506</v>
      </c>
      <c r="K32" s="46" t="n">
        <f aca="false">Share_Price/K93</f>
        <v>2.43182576124305</v>
      </c>
      <c r="L32" s="46" t="n">
        <f aca="false">Share_Price/L93</f>
        <v>1.96573867385638</v>
      </c>
      <c r="M32" s="47" t="n">
        <f aca="false">Share_Price/M93</f>
        <v>1.61718642709112</v>
      </c>
    </row>
    <row r="34" customFormat="false" ht="15" hidden="false" customHeight="false" outlineLevel="0" collapsed="false">
      <c r="B34" s="3" t="s">
        <v>42</v>
      </c>
      <c r="C34" s="4"/>
      <c r="D34" s="4"/>
      <c r="E34" s="4"/>
      <c r="F34" s="4"/>
      <c r="G34" s="4"/>
      <c r="H34" s="5"/>
      <c r="I34" s="5"/>
      <c r="J34" s="5"/>
      <c r="K34" s="5"/>
      <c r="L34" s="5"/>
      <c r="M34" s="6"/>
    </row>
    <row r="35" customFormat="false" ht="15" hidden="false" customHeight="false" outlineLevel="0" collapsed="false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customFormat="false" ht="15" hidden="false" customHeight="false" outlineLevel="0" collapsed="false">
      <c r="B36" s="7"/>
      <c r="C36" s="8"/>
      <c r="D36" s="8"/>
      <c r="E36" s="8"/>
      <c r="F36" s="36" t="str">
        <f aca="false">F22</f>
        <v>Historical</v>
      </c>
      <c r="G36" s="36"/>
      <c r="H36" s="36"/>
      <c r="I36" s="37" t="str">
        <f aca="false">I22</f>
        <v>Projections</v>
      </c>
      <c r="J36" s="37"/>
      <c r="K36" s="37"/>
      <c r="L36" s="37"/>
      <c r="M36" s="37"/>
    </row>
    <row r="37" customFormat="false" ht="15" hidden="false" customHeight="false" outlineLevel="0" collapsed="false">
      <c r="B37" s="7"/>
      <c r="C37" s="8"/>
      <c r="D37" s="8"/>
      <c r="E37" s="8"/>
      <c r="F37" s="38" t="str">
        <f aca="false">F24</f>
        <v>FY 2007</v>
      </c>
      <c r="G37" s="38" t="str">
        <f aca="false">G24</f>
        <v>FY 2008</v>
      </c>
      <c r="H37" s="39" t="str">
        <f aca="false">H24</f>
        <v>FY 2009</v>
      </c>
      <c r="I37" s="38" t="str">
        <f aca="false">I24</f>
        <v>FY 2010E</v>
      </c>
      <c r="J37" s="38" t="str">
        <f aca="false">J24</f>
        <v>FY 2011E</v>
      </c>
      <c r="K37" s="38" t="str">
        <f aca="false">K24</f>
        <v>FY 2012E</v>
      </c>
      <c r="L37" s="38" t="str">
        <f aca="false">L24</f>
        <v>FY 2013E</v>
      </c>
      <c r="M37" s="39" t="str">
        <f aca="false">M24</f>
        <v>FY 2014E</v>
      </c>
    </row>
    <row r="38" customFormat="false" ht="15" hidden="false" customHeight="false" outlineLevel="0" collapsed="false">
      <c r="B38" s="7"/>
      <c r="C38" s="8"/>
      <c r="D38" s="8"/>
      <c r="E38" s="8"/>
      <c r="F38" s="8"/>
      <c r="G38" s="8"/>
      <c r="H38" s="9"/>
      <c r="I38" s="8"/>
      <c r="J38" s="8"/>
      <c r="K38" s="8"/>
      <c r="L38" s="8"/>
      <c r="M38" s="9"/>
    </row>
    <row r="39" customFormat="false" ht="15" hidden="false" customHeight="false" outlineLevel="0" collapsed="false">
      <c r="B39" s="7" t="s">
        <v>43</v>
      </c>
      <c r="C39" s="8"/>
      <c r="D39" s="8"/>
      <c r="E39" s="8"/>
      <c r="F39" s="48" t="n">
        <f aca="false">F66/19315-1</f>
        <v>0.272482526533782</v>
      </c>
      <c r="G39" s="48" t="n">
        <f aca="false">G66/F66-1</f>
        <v>0.52538855887379</v>
      </c>
      <c r="H39" s="49" t="n">
        <f aca="false">H66/G66-1</f>
        <v>0.144407991251234</v>
      </c>
      <c r="I39" s="50" t="n">
        <v>0.25</v>
      </c>
      <c r="J39" s="51" t="n">
        <v>0.17</v>
      </c>
      <c r="K39" s="51" t="n">
        <v>0.11</v>
      </c>
      <c r="L39" s="51" t="n">
        <v>0.09</v>
      </c>
      <c r="M39" s="52" t="n">
        <v>0.07</v>
      </c>
    </row>
    <row r="40" customFormat="false" ht="15" hidden="false" customHeight="false" outlineLevel="0" collapsed="false">
      <c r="B40" s="7" t="s">
        <v>44</v>
      </c>
      <c r="C40" s="8"/>
      <c r="D40" s="8"/>
      <c r="E40" s="8"/>
      <c r="F40" s="48" t="n">
        <f aca="false">F67/F66</f>
        <v>0.662462364716413</v>
      </c>
      <c r="G40" s="48" t="n">
        <f aca="false">G67/G66</f>
        <v>0.641451726192064</v>
      </c>
      <c r="H40" s="49" t="n">
        <f aca="false">H67/H66</f>
        <v>0.590242007536029</v>
      </c>
      <c r="I40" s="53" t="n">
        <f aca="false">H40</f>
        <v>0.590242007536029</v>
      </c>
      <c r="J40" s="48" t="n">
        <f aca="false">I40</f>
        <v>0.590242007536029</v>
      </c>
      <c r="K40" s="48" t="n">
        <f aca="false">J40</f>
        <v>0.590242007536029</v>
      </c>
      <c r="L40" s="48" t="n">
        <f aca="false">K40</f>
        <v>0.590242007536029</v>
      </c>
      <c r="M40" s="49" t="n">
        <f aca="false">L40</f>
        <v>0.590242007536029</v>
      </c>
    </row>
    <row r="41" customFormat="false" ht="15" hidden="false" customHeight="false" outlineLevel="0" collapsed="false">
      <c r="B41" s="7" t="s">
        <v>45</v>
      </c>
      <c r="C41" s="8"/>
      <c r="D41" s="8"/>
      <c r="E41" s="8"/>
      <c r="F41" s="48" t="n">
        <f aca="false">F70/F66</f>
        <v>0.0242493286679144</v>
      </c>
      <c r="G41" s="48" t="n">
        <f aca="false">G70/G66</f>
        <v>0.0202359677433695</v>
      </c>
      <c r="H41" s="49" t="n">
        <f aca="false">H70/H66</f>
        <v>0.0193528337800567</v>
      </c>
      <c r="I41" s="53" t="n">
        <f aca="false">H41</f>
        <v>0.0193528337800567</v>
      </c>
      <c r="J41" s="48" t="n">
        <f aca="false">I41</f>
        <v>0.0193528337800567</v>
      </c>
      <c r="K41" s="48" t="n">
        <f aca="false">J41</f>
        <v>0.0193528337800567</v>
      </c>
      <c r="L41" s="48" t="n">
        <f aca="false">K41</f>
        <v>0.0193528337800567</v>
      </c>
      <c r="M41" s="49" t="n">
        <f aca="false">L41</f>
        <v>0.0193528337800567</v>
      </c>
    </row>
    <row r="42" customFormat="false" ht="15" hidden="false" customHeight="false" outlineLevel="0" collapsed="false">
      <c r="B42" s="7" t="s">
        <v>46</v>
      </c>
      <c r="C42" s="8"/>
      <c r="D42" s="8"/>
      <c r="E42" s="8"/>
      <c r="F42" s="48" t="n">
        <f aca="false">F71/F66</f>
        <v>0.110830824314428</v>
      </c>
      <c r="G42" s="48" t="n">
        <f aca="false">G71/G66</f>
        <v>0.089212522116419</v>
      </c>
      <c r="H42" s="49" t="n">
        <f aca="false">H71/H66</f>
        <v>0.083121625296197</v>
      </c>
      <c r="I42" s="53" t="n">
        <f aca="false">H42</f>
        <v>0.083121625296197</v>
      </c>
      <c r="J42" s="48" t="n">
        <f aca="false">I42</f>
        <v>0.083121625296197</v>
      </c>
      <c r="K42" s="48" t="n">
        <f aca="false">J42</f>
        <v>0.083121625296197</v>
      </c>
      <c r="L42" s="48" t="n">
        <f aca="false">K42</f>
        <v>0.083121625296197</v>
      </c>
      <c r="M42" s="49" t="n">
        <f aca="false">L42</f>
        <v>0.083121625296197</v>
      </c>
    </row>
    <row r="43" customFormat="false" ht="15" hidden="false" customHeight="false" outlineLevel="0" collapsed="false">
      <c r="B43" s="7"/>
      <c r="C43" s="8"/>
      <c r="D43" s="8"/>
      <c r="E43" s="8"/>
      <c r="F43" s="48"/>
      <c r="G43" s="48"/>
      <c r="H43" s="49"/>
      <c r="I43" s="53"/>
      <c r="J43" s="48"/>
      <c r="K43" s="48"/>
      <c r="L43" s="48"/>
      <c r="M43" s="49"/>
    </row>
    <row r="44" customFormat="false" ht="15" hidden="false" customHeight="false" outlineLevel="0" collapsed="false">
      <c r="B44" s="7" t="s">
        <v>47</v>
      </c>
      <c r="C44" s="8"/>
      <c r="D44" s="8"/>
      <c r="E44" s="8"/>
      <c r="F44" s="48" t="n">
        <f aca="false">F76/F66</f>
        <v>0.00984620392220685</v>
      </c>
      <c r="G44" s="48" t="n">
        <f aca="false">G76/G66</f>
        <v>0.0137633031927663</v>
      </c>
      <c r="H44" s="49" t="n">
        <f aca="false">H76/H66</f>
        <v>0.0165481878568931</v>
      </c>
      <c r="I44" s="53" t="n">
        <f aca="false">H44</f>
        <v>0.0165481878568931</v>
      </c>
      <c r="J44" s="48" t="n">
        <f aca="false">I44</f>
        <v>0.0165481878568931</v>
      </c>
      <c r="K44" s="48" t="n">
        <f aca="false">J44</f>
        <v>0.0165481878568931</v>
      </c>
      <c r="L44" s="48" t="n">
        <f aca="false">K44</f>
        <v>0.0165481878568931</v>
      </c>
      <c r="M44" s="49" t="n">
        <f aca="false">L44</f>
        <v>0.0165481878568931</v>
      </c>
    </row>
    <row r="45" customFormat="false" ht="15" hidden="false" customHeight="false" outlineLevel="0" collapsed="false">
      <c r="B45" s="7" t="s">
        <v>48</v>
      </c>
      <c r="C45" s="8"/>
      <c r="D45" s="8"/>
      <c r="E45" s="8"/>
      <c r="F45" s="48" t="n">
        <f aca="false">F74/F66</f>
        <v>0.0133045813328993</v>
      </c>
      <c r="G45" s="48" t="n">
        <f aca="false">G74/G66</f>
        <v>0.0132298418287056</v>
      </c>
      <c r="H45" s="49" t="n">
        <f aca="false">H74/H66</f>
        <v>0.0171075632210698</v>
      </c>
      <c r="I45" s="53" t="n">
        <f aca="false">H45</f>
        <v>0.0171075632210698</v>
      </c>
      <c r="J45" s="48" t="n">
        <f aca="false">I45</f>
        <v>0.0171075632210698</v>
      </c>
      <c r="K45" s="48" t="n">
        <f aca="false">J45</f>
        <v>0.0171075632210698</v>
      </c>
      <c r="L45" s="48" t="n">
        <f aca="false">K45</f>
        <v>0.0171075632210698</v>
      </c>
      <c r="M45" s="49" t="n">
        <f aca="false">L45</f>
        <v>0.0171075632210698</v>
      </c>
    </row>
    <row r="46" customFormat="false" ht="15" hidden="false" customHeight="false" outlineLevel="0" collapsed="false">
      <c r="B46" s="7" t="s">
        <v>49</v>
      </c>
      <c r="C46" s="8"/>
      <c r="D46" s="8"/>
      <c r="E46" s="8"/>
      <c r="F46" s="51" t="n">
        <v>0.0527</v>
      </c>
      <c r="G46" s="51" t="n">
        <v>0.0344</v>
      </c>
      <c r="H46" s="52" t="n">
        <v>0.0143</v>
      </c>
      <c r="I46" s="51" t="n">
        <v>0.01</v>
      </c>
      <c r="J46" s="51" t="n">
        <v>0.01</v>
      </c>
      <c r="K46" s="51" t="n">
        <v>0.02</v>
      </c>
      <c r="L46" s="51" t="n">
        <v>0.02</v>
      </c>
      <c r="M46" s="52" t="n">
        <v>0.03</v>
      </c>
    </row>
    <row r="47" customFormat="false" ht="15" hidden="false" customHeight="false" outlineLevel="0" collapsed="false">
      <c r="B47" s="7" t="s">
        <v>50</v>
      </c>
      <c r="C47" s="8"/>
      <c r="D47" s="8"/>
      <c r="E47" s="8"/>
      <c r="F47" s="51" t="n">
        <v>0</v>
      </c>
      <c r="G47" s="51" t="n">
        <v>0</v>
      </c>
      <c r="H47" s="52" t="n">
        <v>0</v>
      </c>
      <c r="I47" s="50" t="n">
        <v>0.09</v>
      </c>
      <c r="J47" s="48" t="n">
        <f aca="false">I47</f>
        <v>0.09</v>
      </c>
      <c r="K47" s="48" t="n">
        <f aca="false">J47</f>
        <v>0.09</v>
      </c>
      <c r="L47" s="48" t="n">
        <f aca="false">K47</f>
        <v>0.09</v>
      </c>
      <c r="M47" s="49" t="n">
        <f aca="false">L47</f>
        <v>0.09</v>
      </c>
    </row>
    <row r="48" customFormat="false" ht="15" hidden="false" customHeight="false" outlineLevel="0" collapsed="false">
      <c r="B48" s="7" t="s">
        <v>51</v>
      </c>
      <c r="C48" s="8"/>
      <c r="D48" s="8"/>
      <c r="E48" s="8"/>
      <c r="F48" s="48" t="n">
        <f aca="false">F83/F82</f>
        <v>0.301837794646424</v>
      </c>
      <c r="G48" s="48" t="n">
        <f aca="false">G83/G82</f>
        <v>0.316083603442495</v>
      </c>
      <c r="H48" s="49" t="n">
        <f aca="false">H83/H82</f>
        <v>0.317503729487817</v>
      </c>
      <c r="I48" s="54" t="n">
        <f aca="false">Tax_Rate</f>
        <v>0.3</v>
      </c>
      <c r="J48" s="55" t="n">
        <f aca="false">Tax_Rate</f>
        <v>0.3</v>
      </c>
      <c r="K48" s="55" t="n">
        <f aca="false">Tax_Rate</f>
        <v>0.3</v>
      </c>
      <c r="L48" s="55" t="n">
        <f aca="false">Tax_Rate</f>
        <v>0.3</v>
      </c>
      <c r="M48" s="56" t="n">
        <f aca="false">Tax_Rate</f>
        <v>0.3</v>
      </c>
    </row>
    <row r="49" customFormat="false" ht="15" hidden="false" customHeight="false" outlineLevel="0" collapsed="false">
      <c r="B49" s="7"/>
      <c r="C49" s="8"/>
      <c r="D49" s="8"/>
      <c r="E49" s="8"/>
      <c r="F49" s="8"/>
      <c r="G49" s="8"/>
      <c r="H49" s="9"/>
      <c r="I49" s="7"/>
      <c r="J49" s="8"/>
      <c r="K49" s="8"/>
      <c r="L49" s="8"/>
      <c r="M49" s="9"/>
    </row>
    <row r="50" customFormat="false" ht="15" hidden="false" customHeight="false" outlineLevel="0" collapsed="false">
      <c r="B50" s="7" t="s">
        <v>52</v>
      </c>
      <c r="C50" s="8"/>
      <c r="D50" s="8"/>
      <c r="E50" s="8"/>
      <c r="F50" s="8"/>
      <c r="G50" s="48" t="n">
        <f aca="false">G101/G66</f>
        <v>0.0646021711877517</v>
      </c>
      <c r="H50" s="49" t="n">
        <f aca="false">H101/H66</f>
        <v>0.0783358582915744</v>
      </c>
      <c r="I50" s="53" t="n">
        <f aca="false">I51/Days_In_Year</f>
        <v>0.0783358582915744</v>
      </c>
      <c r="J50" s="48" t="n">
        <f aca="false">J51/Days_In_Year</f>
        <v>0.0783358582915744</v>
      </c>
      <c r="K50" s="48" t="n">
        <f aca="false">K51/Days_In_Year</f>
        <v>0.0783358582915744</v>
      </c>
      <c r="L50" s="48" t="n">
        <f aca="false">L51/Days_In_Year</f>
        <v>0.0783358582915744</v>
      </c>
      <c r="M50" s="49" t="n">
        <f aca="false">M51/Days_In_Year</f>
        <v>0.0783358582915744</v>
      </c>
    </row>
    <row r="51" customFormat="false" ht="15" hidden="false" customHeight="false" outlineLevel="0" collapsed="false">
      <c r="B51" s="7" t="s">
        <v>53</v>
      </c>
      <c r="C51" s="8"/>
      <c r="D51" s="8"/>
      <c r="E51" s="8"/>
      <c r="F51" s="8"/>
      <c r="G51" s="57" t="n">
        <f aca="false">G50*Days_In_Year</f>
        <v>23.2567816275906</v>
      </c>
      <c r="H51" s="58" t="n">
        <f aca="false">H50*Days_In_Year</f>
        <v>28.2009089849668</v>
      </c>
      <c r="I51" s="59" t="n">
        <f aca="false">H51</f>
        <v>28.2009089849668</v>
      </c>
      <c r="J51" s="57" t="n">
        <f aca="false">I51</f>
        <v>28.2009089849668</v>
      </c>
      <c r="K51" s="57" t="n">
        <f aca="false">J51</f>
        <v>28.2009089849668</v>
      </c>
      <c r="L51" s="57" t="n">
        <f aca="false">K51</f>
        <v>28.2009089849668</v>
      </c>
      <c r="M51" s="58" t="n">
        <f aca="false">L51</f>
        <v>28.2009089849668</v>
      </c>
    </row>
    <row r="52" customFormat="false" ht="15" hidden="false" customHeight="false" outlineLevel="0" collapsed="false">
      <c r="B52" s="7" t="s">
        <v>54</v>
      </c>
      <c r="C52" s="8"/>
      <c r="D52" s="8"/>
      <c r="E52" s="8"/>
      <c r="F52" s="8"/>
      <c r="G52" s="48" t="n">
        <f aca="false">G102/G67</f>
        <v>0.0211654145759987</v>
      </c>
      <c r="H52" s="49" t="n">
        <f aca="false">H102/H67</f>
        <v>0.0179669092967238</v>
      </c>
      <c r="I52" s="53" t="n">
        <f aca="false">H52</f>
        <v>0.0179669092967238</v>
      </c>
      <c r="J52" s="48" t="n">
        <f aca="false">I52</f>
        <v>0.0179669092967238</v>
      </c>
      <c r="K52" s="48" t="n">
        <f aca="false">J52</f>
        <v>0.0179669092967238</v>
      </c>
      <c r="L52" s="48" t="n">
        <f aca="false">K52</f>
        <v>0.0179669092967238</v>
      </c>
      <c r="M52" s="49" t="n">
        <f aca="false">L52</f>
        <v>0.0179669092967238</v>
      </c>
    </row>
    <row r="53" customFormat="false" ht="15" hidden="false" customHeight="false" outlineLevel="0" collapsed="false">
      <c r="B53" s="7" t="s">
        <v>55</v>
      </c>
      <c r="C53" s="8"/>
      <c r="D53" s="8"/>
      <c r="E53" s="8"/>
      <c r="F53" s="30"/>
      <c r="G53" s="30"/>
      <c r="H53" s="15"/>
      <c r="I53" s="30" t="n">
        <v>40</v>
      </c>
      <c r="J53" s="30" t="n">
        <v>37</v>
      </c>
      <c r="K53" s="30" t="n">
        <v>28</v>
      </c>
      <c r="L53" s="30" t="n">
        <v>13</v>
      </c>
      <c r="M53" s="15" t="n">
        <v>10</v>
      </c>
    </row>
    <row r="54" customFormat="false" ht="15" hidden="false" customHeight="false" outlineLevel="0" collapsed="false">
      <c r="B54" s="7"/>
      <c r="C54" s="8"/>
      <c r="D54" s="8"/>
      <c r="E54" s="8"/>
      <c r="F54" s="8"/>
      <c r="G54" s="60"/>
      <c r="H54" s="61"/>
      <c r="I54" s="62"/>
      <c r="J54" s="60"/>
      <c r="K54" s="60"/>
      <c r="L54" s="60"/>
      <c r="M54" s="61"/>
    </row>
    <row r="55" customFormat="false" ht="15" hidden="false" customHeight="false" outlineLevel="0" collapsed="false">
      <c r="B55" s="7" t="s">
        <v>56</v>
      </c>
      <c r="C55" s="8"/>
      <c r="D55" s="8"/>
      <c r="E55" s="8"/>
      <c r="F55" s="8"/>
      <c r="G55" s="48" t="n">
        <f aca="false">G117/G67</f>
        <v>0.22953455493028</v>
      </c>
      <c r="H55" s="49" t="n">
        <f aca="false">H117/H67</f>
        <v>0.221170679057033</v>
      </c>
      <c r="I55" s="53" t="n">
        <f aca="false">I56/Days_In_Year</f>
        <v>0.221170679057033</v>
      </c>
      <c r="J55" s="48" t="n">
        <f aca="false">J56/Days_In_Year</f>
        <v>0.221170679057033</v>
      </c>
      <c r="K55" s="48" t="n">
        <f aca="false">K56/Days_In_Year</f>
        <v>0.221170679057033</v>
      </c>
      <c r="L55" s="48" t="n">
        <f aca="false">L56/Days_In_Year</f>
        <v>0.221170679057033</v>
      </c>
      <c r="M55" s="49" t="n">
        <f aca="false">M56/Days_In_Year</f>
        <v>0.221170679057033</v>
      </c>
    </row>
    <row r="56" customFormat="false" ht="15" hidden="false" customHeight="false" outlineLevel="0" collapsed="false">
      <c r="B56" s="7" t="s">
        <v>57</v>
      </c>
      <c r="C56" s="8"/>
      <c r="D56" s="8"/>
      <c r="E56" s="8"/>
      <c r="F56" s="8"/>
      <c r="G56" s="57" t="n">
        <f aca="false">G55*Days_In_Year</f>
        <v>82.6324397749009</v>
      </c>
      <c r="H56" s="58" t="n">
        <f aca="false">H55*Days_In_Year</f>
        <v>79.621444460532</v>
      </c>
      <c r="I56" s="59" t="n">
        <f aca="false">H56</f>
        <v>79.621444460532</v>
      </c>
      <c r="J56" s="57" t="n">
        <f aca="false">I56</f>
        <v>79.621444460532</v>
      </c>
      <c r="K56" s="57" t="n">
        <f aca="false">J56</f>
        <v>79.621444460532</v>
      </c>
      <c r="L56" s="57" t="n">
        <f aca="false">K56</f>
        <v>79.621444460532</v>
      </c>
      <c r="M56" s="58" t="n">
        <f aca="false">L56</f>
        <v>79.621444460532</v>
      </c>
    </row>
    <row r="57" customFormat="false" ht="15" hidden="false" customHeight="false" outlineLevel="0" collapsed="false">
      <c r="B57" s="7" t="s">
        <v>58</v>
      </c>
      <c r="C57" s="8"/>
      <c r="D57" s="8"/>
      <c r="E57" s="8"/>
      <c r="F57" s="8"/>
      <c r="G57" s="48" t="n">
        <f aca="false">G118/G72</f>
        <v>1.02940698619009</v>
      </c>
      <c r="H57" s="49" t="n">
        <f aca="false">H118/H72</f>
        <v>0.876118271417741</v>
      </c>
      <c r="I57" s="53" t="n">
        <f aca="false">H57</f>
        <v>0.876118271417741</v>
      </c>
      <c r="J57" s="48" t="n">
        <f aca="false">I57</f>
        <v>0.876118271417741</v>
      </c>
      <c r="K57" s="48" t="n">
        <f aca="false">J57</f>
        <v>0.876118271417741</v>
      </c>
      <c r="L57" s="48" t="n">
        <f aca="false">K57</f>
        <v>0.876118271417741</v>
      </c>
      <c r="M57" s="49" t="n">
        <f aca="false">L57</f>
        <v>0.876118271417741</v>
      </c>
    </row>
    <row r="58" customFormat="false" ht="15" hidden="false" customHeight="false" outlineLevel="0" collapsed="false">
      <c r="B58" s="7" t="s">
        <v>59</v>
      </c>
      <c r="C58" s="8"/>
      <c r="D58" s="8"/>
      <c r="E58" s="8"/>
      <c r="F58" s="8"/>
      <c r="G58" s="48" t="n">
        <f aca="false">G119/G66</f>
        <v>0.0431303512843082</v>
      </c>
      <c r="H58" s="49" t="n">
        <f aca="false">H119/H66</f>
        <v>0.0478499009439459</v>
      </c>
      <c r="I58" s="53" t="n">
        <f aca="false">H58</f>
        <v>0.0478499009439459</v>
      </c>
      <c r="J58" s="48" t="n">
        <f aca="false">I58</f>
        <v>0.0478499009439459</v>
      </c>
      <c r="K58" s="48" t="n">
        <f aca="false">J58</f>
        <v>0.0478499009439459</v>
      </c>
      <c r="L58" s="48" t="n">
        <f aca="false">K58</f>
        <v>0.0478499009439459</v>
      </c>
      <c r="M58" s="49" t="n">
        <f aca="false">L58</f>
        <v>0.0478499009439459</v>
      </c>
    </row>
    <row r="59" customFormat="false" ht="15" hidden="false" customHeight="false" outlineLevel="0" collapsed="false">
      <c r="B59" s="7" t="s">
        <v>60</v>
      </c>
      <c r="C59" s="8"/>
      <c r="D59" s="8"/>
      <c r="E59" s="8"/>
      <c r="F59" s="8"/>
      <c r="G59" s="48" t="n">
        <f aca="false">G123/G66</f>
        <v>0.0204849163799312</v>
      </c>
      <c r="H59" s="49" t="n">
        <f aca="false">H123/H66</f>
        <v>0.0198811327351125</v>
      </c>
      <c r="I59" s="53" t="n">
        <f aca="false">H59</f>
        <v>0.0198811327351125</v>
      </c>
      <c r="J59" s="48" t="n">
        <f aca="false">I59</f>
        <v>0.0198811327351125</v>
      </c>
      <c r="K59" s="48" t="n">
        <f aca="false">J59</f>
        <v>0.0198811327351125</v>
      </c>
      <c r="L59" s="48" t="n">
        <f aca="false">K59</f>
        <v>0.0198811327351125</v>
      </c>
      <c r="M59" s="49" t="n">
        <f aca="false">L59</f>
        <v>0.0198811327351125</v>
      </c>
    </row>
    <row r="60" customFormat="false" ht="15" hidden="false" customHeight="false" outlineLevel="0" collapsed="false">
      <c r="B60" s="7"/>
      <c r="C60" s="8"/>
      <c r="D60" s="8"/>
      <c r="E60" s="8"/>
      <c r="F60" s="8"/>
      <c r="G60" s="8"/>
      <c r="H60" s="9"/>
      <c r="I60" s="7"/>
      <c r="J60" s="8"/>
      <c r="K60" s="8"/>
      <c r="L60" s="8"/>
      <c r="M60" s="9"/>
    </row>
    <row r="61" customFormat="false" ht="15" hidden="false" customHeight="false" outlineLevel="0" collapsed="false">
      <c r="B61" s="63" t="s">
        <v>61</v>
      </c>
      <c r="C61" s="45"/>
      <c r="D61" s="45"/>
      <c r="E61" s="45"/>
      <c r="F61" s="64" t="n">
        <f aca="false">-F163/F66</f>
        <v>0.0299047929042233</v>
      </c>
      <c r="G61" s="64" t="n">
        <f aca="false">-G163/G66</f>
        <v>0.0291003174095116</v>
      </c>
      <c r="H61" s="65" t="n">
        <f aca="false">-H163/H66</f>
        <v>0.0266635590257546</v>
      </c>
      <c r="I61" s="66" t="n">
        <f aca="false">H61</f>
        <v>0.0266635590257546</v>
      </c>
      <c r="J61" s="64" t="n">
        <f aca="false">I61</f>
        <v>0.0266635590257546</v>
      </c>
      <c r="K61" s="64" t="n">
        <f aca="false">J61</f>
        <v>0.0266635590257546</v>
      </c>
      <c r="L61" s="64" t="n">
        <f aca="false">K61</f>
        <v>0.0266635590257546</v>
      </c>
      <c r="M61" s="65" t="n">
        <f aca="false">L61</f>
        <v>0.0266635590257546</v>
      </c>
    </row>
    <row r="63" customFormat="false" ht="15" hidden="false" customHeight="false" outlineLevel="0" collapsed="false">
      <c r="B63" s="3" t="s">
        <v>62</v>
      </c>
      <c r="C63" s="4"/>
      <c r="D63" s="4"/>
      <c r="E63" s="4"/>
      <c r="F63" s="4"/>
      <c r="G63" s="4"/>
      <c r="H63" s="5"/>
      <c r="I63" s="5"/>
      <c r="J63" s="5"/>
      <c r="K63" s="5"/>
      <c r="L63" s="5"/>
      <c r="M63" s="6"/>
    </row>
    <row r="64" customFormat="false" ht="15" hidden="false" customHeight="false" outlineLevel="0" collapsed="false">
      <c r="B64" s="7"/>
      <c r="C64" s="8"/>
      <c r="F64" s="38" t="str">
        <f aca="false">F$24</f>
        <v>FY 2007</v>
      </c>
      <c r="G64" s="38" t="str">
        <f aca="false">G$24</f>
        <v>FY 2008</v>
      </c>
      <c r="H64" s="39" t="str">
        <f aca="false">H$24</f>
        <v>FY 2009</v>
      </c>
      <c r="I64" s="38" t="str">
        <f aca="false">I$24</f>
        <v>FY 2010E</v>
      </c>
      <c r="J64" s="38" t="str">
        <f aca="false">J$24</f>
        <v>FY 2011E</v>
      </c>
      <c r="K64" s="38" t="str">
        <f aca="false">K$24</f>
        <v>FY 2012E</v>
      </c>
      <c r="L64" s="38" t="str">
        <f aca="false">L$24</f>
        <v>FY 2013E</v>
      </c>
      <c r="M64" s="39" t="str">
        <f aca="false">M$24</f>
        <v>FY 2014E</v>
      </c>
    </row>
    <row r="65" customFormat="false" ht="15" hidden="false" customHeight="false" outlineLevel="0" collapsed="false">
      <c r="B65" s="7"/>
      <c r="C65" s="8"/>
      <c r="H65" s="67"/>
      <c r="I65" s="8"/>
      <c r="M65" s="67"/>
    </row>
    <row r="66" customFormat="false" ht="15" hidden="false" customHeight="false" outlineLevel="0" collapsed="false">
      <c r="B66" s="10" t="s">
        <v>63</v>
      </c>
      <c r="F66" s="68" t="n">
        <v>24578</v>
      </c>
      <c r="G66" s="68" t="n">
        <v>37491</v>
      </c>
      <c r="H66" s="69" t="n">
        <v>42905</v>
      </c>
      <c r="I66" s="70" t="n">
        <f aca="false">H66*(1+I39)</f>
        <v>53631.25</v>
      </c>
      <c r="J66" s="70" t="n">
        <f aca="false">I66*(1+J39)</f>
        <v>62748.5625</v>
      </c>
      <c r="K66" s="70" t="n">
        <f aca="false">J66*(1+K39)</f>
        <v>69650.904375</v>
      </c>
      <c r="L66" s="70" t="n">
        <f aca="false">K66*(1+L39)</f>
        <v>75919.48576875</v>
      </c>
      <c r="M66" s="71" t="n">
        <f aca="false">L66*(1+M39)</f>
        <v>81233.8497725625</v>
      </c>
      <c r="O66" s="72"/>
    </row>
    <row r="67" customFormat="false" ht="15" hidden="false" customHeight="false" outlineLevel="0" collapsed="false">
      <c r="B67" s="7" t="s">
        <v>64</v>
      </c>
      <c r="F67" s="20" t="n">
        <f aca="false">16426-35-F$74/3</f>
        <v>16282</v>
      </c>
      <c r="G67" s="20" t="n">
        <f aca="false">24294-80-G$74/3</f>
        <v>24048.6666666667</v>
      </c>
      <c r="H67" s="73" t="n">
        <f aca="false">25683-114-H$74/3</f>
        <v>25324.3333333333</v>
      </c>
      <c r="I67" s="20" t="n">
        <f aca="false">I40*I66</f>
        <v>31655.4166666667</v>
      </c>
      <c r="J67" s="20" t="n">
        <f aca="false">J40*J66</f>
        <v>37036.8375</v>
      </c>
      <c r="K67" s="20" t="n">
        <f aca="false">K40*K66</f>
        <v>41110.889625</v>
      </c>
      <c r="L67" s="20" t="n">
        <f aca="false">L40*L66</f>
        <v>44810.86969125</v>
      </c>
      <c r="M67" s="73" t="n">
        <f aca="false">M40*M66</f>
        <v>47947.6305696375</v>
      </c>
    </row>
    <row r="68" customFormat="false" ht="15" hidden="false" customHeight="false" outlineLevel="0" collapsed="false">
      <c r="B68" s="74" t="s">
        <v>65</v>
      </c>
      <c r="F68" s="75" t="n">
        <f aca="false">F66-F67</f>
        <v>8296</v>
      </c>
      <c r="G68" s="75" t="n">
        <f aca="false">G66-G67</f>
        <v>13442.3333333333</v>
      </c>
      <c r="H68" s="76" t="n">
        <f aca="false">H66-H67</f>
        <v>17580.6666666667</v>
      </c>
      <c r="I68" s="77" t="n">
        <f aca="false">I66-I67</f>
        <v>21975.8333333333</v>
      </c>
      <c r="J68" s="75" t="n">
        <f aca="false">J66-J67</f>
        <v>25711.725</v>
      </c>
      <c r="K68" s="75" t="n">
        <f aca="false">K66-K67</f>
        <v>28540.01475</v>
      </c>
      <c r="L68" s="75" t="n">
        <f aca="false">L66-L67</f>
        <v>31108.6160775</v>
      </c>
      <c r="M68" s="76" t="n">
        <f aca="false">M66-M67</f>
        <v>33286.219202925</v>
      </c>
    </row>
    <row r="69" customFormat="false" ht="15" hidden="false" customHeight="false" outlineLevel="0" collapsed="false">
      <c r="B69" s="7" t="s">
        <v>66</v>
      </c>
      <c r="F69" s="8"/>
      <c r="G69" s="8"/>
      <c r="H69" s="9"/>
      <c r="I69" s="8"/>
      <c r="J69" s="8"/>
      <c r="K69" s="8"/>
      <c r="L69" s="8"/>
      <c r="M69" s="9"/>
    </row>
    <row r="70" customFormat="false" ht="15" hidden="false" customHeight="false" outlineLevel="0" collapsed="false">
      <c r="B70" s="26" t="s">
        <v>67</v>
      </c>
      <c r="F70" s="20" t="n">
        <f aca="false">782-77-F$74/3</f>
        <v>596</v>
      </c>
      <c r="G70" s="20" t="n">
        <f aca="false">1109-185-G$74/3</f>
        <v>758.666666666667</v>
      </c>
      <c r="H70" s="73" t="n">
        <f aca="false">1333-258-H$74/3</f>
        <v>830.333333333333</v>
      </c>
      <c r="I70" s="20" t="n">
        <f aca="false">I41*I66</f>
        <v>1037.91666666667</v>
      </c>
      <c r="J70" s="20" t="n">
        <f aca="false">J41*J66</f>
        <v>1214.3625</v>
      </c>
      <c r="K70" s="20" t="n">
        <f aca="false">K41*K66</f>
        <v>1347.942375</v>
      </c>
      <c r="L70" s="20" t="n">
        <f aca="false">L41*L66</f>
        <v>1469.25718875</v>
      </c>
      <c r="M70" s="73" t="n">
        <f aca="false">M41*M66</f>
        <v>1572.1051919625</v>
      </c>
    </row>
    <row r="71" customFormat="false" ht="15" hidden="false" customHeight="false" outlineLevel="0" collapsed="false">
      <c r="B71" s="26" t="s">
        <v>68</v>
      </c>
      <c r="F71" s="20" t="n">
        <f aca="false">2963-130-F$74/3</f>
        <v>2724</v>
      </c>
      <c r="G71" s="20" t="n">
        <f aca="false">3761-251-G$74/3</f>
        <v>3344.66666666667</v>
      </c>
      <c r="H71" s="73" t="n">
        <f aca="false">4149-338-H$74/3</f>
        <v>3566.33333333333</v>
      </c>
      <c r="I71" s="20" t="n">
        <f aca="false">I42*I66</f>
        <v>4457.91666666667</v>
      </c>
      <c r="J71" s="20" t="n">
        <f aca="false">J42*J66</f>
        <v>5215.7625</v>
      </c>
      <c r="K71" s="20" t="n">
        <f aca="false">K42*K66</f>
        <v>5789.496375</v>
      </c>
      <c r="L71" s="20" t="n">
        <f aca="false">L42*L66</f>
        <v>6310.55104875</v>
      </c>
      <c r="M71" s="73" t="n">
        <f aca="false">M42*M66</f>
        <v>6752.2896221625</v>
      </c>
    </row>
    <row r="72" customFormat="false" ht="15" hidden="false" customHeight="false" outlineLevel="0" collapsed="false">
      <c r="B72" s="78" t="s">
        <v>69</v>
      </c>
      <c r="C72" s="34"/>
      <c r="D72" s="34"/>
      <c r="E72" s="34"/>
      <c r="F72" s="32" t="n">
        <f aca="false">SUM(F70:F71)</f>
        <v>3320</v>
      </c>
      <c r="G72" s="32" t="n">
        <f aca="false">SUM(G70:G71)</f>
        <v>4103.33333333333</v>
      </c>
      <c r="H72" s="79" t="n">
        <f aca="false">SUM(H70:H71)</f>
        <v>4396.66666666667</v>
      </c>
      <c r="I72" s="32" t="n">
        <f aca="false">SUM(I70:I71)</f>
        <v>5495.83333333333</v>
      </c>
      <c r="J72" s="32" t="n">
        <f aca="false">SUM(J70:J71)</f>
        <v>6430.125</v>
      </c>
      <c r="K72" s="32" t="n">
        <f aca="false">SUM(K70:K71)</f>
        <v>7137.43875</v>
      </c>
      <c r="L72" s="32" t="n">
        <f aca="false">SUM(L70:L71)</f>
        <v>7779.8082375</v>
      </c>
      <c r="M72" s="79" t="n">
        <f aca="false">SUM(M70:M71)</f>
        <v>8324.394814125</v>
      </c>
    </row>
    <row r="73" customFormat="false" ht="15" hidden="false" customHeight="false" outlineLevel="0" collapsed="false">
      <c r="B73" s="80"/>
      <c r="C73" s="8"/>
      <c r="D73" s="8"/>
      <c r="F73" s="81"/>
      <c r="G73" s="81"/>
      <c r="H73" s="82"/>
      <c r="I73" s="81"/>
      <c r="J73" s="81"/>
      <c r="K73" s="81"/>
      <c r="L73" s="81"/>
      <c r="M73" s="82"/>
    </row>
    <row r="74" customFormat="false" ht="15" hidden="false" customHeight="false" outlineLevel="0" collapsed="false">
      <c r="B74" s="26" t="s">
        <v>70</v>
      </c>
      <c r="C74" s="8"/>
      <c r="D74" s="8"/>
      <c r="F74" s="30" t="n">
        <v>327</v>
      </c>
      <c r="G74" s="30" t="n">
        <v>496</v>
      </c>
      <c r="H74" s="15" t="n">
        <v>734</v>
      </c>
      <c r="I74" s="20" t="n">
        <f aca="false">I45*I66</f>
        <v>917.5</v>
      </c>
      <c r="J74" s="20" t="n">
        <f aca="false">J45*J66</f>
        <v>1073.475</v>
      </c>
      <c r="K74" s="20" t="n">
        <f aca="false">K45*K66</f>
        <v>1191.55725</v>
      </c>
      <c r="L74" s="20" t="n">
        <f aca="false">L45*L66</f>
        <v>1298.7974025</v>
      </c>
      <c r="M74" s="73" t="n">
        <f aca="false">M45*M66</f>
        <v>1389.713220675</v>
      </c>
    </row>
    <row r="75" customFormat="false" ht="15" hidden="false" customHeight="false" outlineLevel="0" collapsed="false">
      <c r="B75" s="26" t="s">
        <v>55</v>
      </c>
      <c r="C75" s="8"/>
      <c r="D75" s="8"/>
      <c r="F75" s="30" t="n">
        <v>0</v>
      </c>
      <c r="G75" s="30" t="n">
        <v>0</v>
      </c>
      <c r="H75" s="15" t="n">
        <v>0</v>
      </c>
      <c r="I75" s="20" t="n">
        <f aca="false">I53</f>
        <v>40</v>
      </c>
      <c r="J75" s="20" t="n">
        <f aca="false">J53</f>
        <v>37</v>
      </c>
      <c r="K75" s="20" t="n">
        <f aca="false">K53</f>
        <v>28</v>
      </c>
      <c r="L75" s="20" t="n">
        <f aca="false">L53</f>
        <v>13</v>
      </c>
      <c r="M75" s="73" t="n">
        <f aca="false">M53</f>
        <v>10</v>
      </c>
    </row>
    <row r="76" customFormat="false" ht="15" hidden="false" customHeight="false" outlineLevel="0" collapsed="false">
      <c r="B76" s="26" t="s">
        <v>71</v>
      </c>
      <c r="C76" s="8"/>
      <c r="D76" s="8"/>
      <c r="F76" s="30" t="n">
        <v>242</v>
      </c>
      <c r="G76" s="30" t="n">
        <v>516</v>
      </c>
      <c r="H76" s="15" t="n">
        <v>710</v>
      </c>
      <c r="I76" s="20" t="n">
        <f aca="false">I44*I66</f>
        <v>887.5</v>
      </c>
      <c r="J76" s="20" t="n">
        <f aca="false">J44*J66</f>
        <v>1038.375</v>
      </c>
      <c r="K76" s="20" t="n">
        <f aca="false">K44*K66</f>
        <v>1152.59625</v>
      </c>
      <c r="L76" s="20" t="n">
        <f aca="false">L44*L66</f>
        <v>1256.3299125</v>
      </c>
      <c r="M76" s="73" t="n">
        <f aca="false">M44*M66</f>
        <v>1344.273006375</v>
      </c>
    </row>
    <row r="77" customFormat="false" ht="15" hidden="false" customHeight="false" outlineLevel="0" collapsed="false">
      <c r="B77" s="80"/>
      <c r="C77" s="8"/>
      <c r="D77" s="8"/>
      <c r="F77" s="81"/>
      <c r="G77" s="81"/>
      <c r="H77" s="82"/>
      <c r="I77" s="81"/>
      <c r="J77" s="81"/>
      <c r="K77" s="81"/>
      <c r="L77" s="81"/>
      <c r="M77" s="82"/>
    </row>
    <row r="78" customFormat="false" ht="15" hidden="false" customHeight="false" outlineLevel="0" collapsed="false">
      <c r="B78" s="80" t="s">
        <v>72</v>
      </c>
      <c r="F78" s="75" t="n">
        <f aca="false">F68-F72-F74-F75-F76</f>
        <v>4407</v>
      </c>
      <c r="G78" s="75" t="n">
        <f aca="false">G68-G72-G74-G75-G76</f>
        <v>8327</v>
      </c>
      <c r="H78" s="76" t="n">
        <f aca="false">H68-H72-H74-H75-H76</f>
        <v>11740</v>
      </c>
      <c r="I78" s="77" t="n">
        <f aca="false">I68-I72-I74-I75-I76</f>
        <v>14635</v>
      </c>
      <c r="J78" s="75" t="n">
        <f aca="false">J68-J72-J74-J75-J76</f>
        <v>17132.75</v>
      </c>
      <c r="K78" s="75" t="n">
        <f aca="false">K68-K72-K74-K75-K76</f>
        <v>19030.4225</v>
      </c>
      <c r="L78" s="75" t="n">
        <f aca="false">L68-L72-L74-L75-L76</f>
        <v>20760.680525</v>
      </c>
      <c r="M78" s="76" t="n">
        <f aca="false">M68-M72-M74-M75-M76</f>
        <v>22217.83816175</v>
      </c>
    </row>
    <row r="79" customFormat="false" ht="15" hidden="false" customHeight="false" outlineLevel="0" collapsed="false">
      <c r="B79" s="26" t="s">
        <v>73</v>
      </c>
      <c r="F79" s="30" t="n">
        <v>647</v>
      </c>
      <c r="G79" s="30" t="n">
        <v>653</v>
      </c>
      <c r="H79" s="15" t="n">
        <v>407</v>
      </c>
      <c r="I79" s="83" t="n">
        <f aca="false">AVERAGE(H99+H100+H108,I99+I100+I108)*I46</f>
        <v>424.253637732062</v>
      </c>
      <c r="J79" s="83" t="n">
        <f aca="false">AVERAGE(I99+I100+I108,J99+J100+J108)*J46</f>
        <v>567.649360726668</v>
      </c>
      <c r="K79" s="83" t="n">
        <f aca="false">AVERAGE(J99+J100+J108,K99+K100+K108)*K46</f>
        <v>1443.06095239519</v>
      </c>
      <c r="L79" s="83" t="n">
        <f aca="false">AVERAGE(K99+K100+K108,L99+L100+L108)*L46</f>
        <v>1779.71183897226</v>
      </c>
      <c r="M79" s="84" t="n">
        <f aca="false">AVERAGE(L99+L100+L108,M99+M100+M108)*M46</f>
        <v>3222.90230256472</v>
      </c>
    </row>
    <row r="80" customFormat="false" ht="15" hidden="false" customHeight="false" outlineLevel="0" collapsed="false">
      <c r="B80" s="26" t="s">
        <v>74</v>
      </c>
      <c r="F80" s="30" t="n">
        <v>0</v>
      </c>
      <c r="G80" s="30" t="n">
        <v>0</v>
      </c>
      <c r="H80" s="15" t="n">
        <v>0</v>
      </c>
      <c r="I80" s="83" t="n">
        <f aca="false">-AVERAGE(H124,I124)*I47</f>
        <v>-45</v>
      </c>
      <c r="J80" s="83" t="n">
        <f aca="false">-AVERAGE(I124,J124)*J47</f>
        <v>-90</v>
      </c>
      <c r="K80" s="83" t="n">
        <f aca="false">-AVERAGE(J124,K124)*K47</f>
        <v>-90</v>
      </c>
      <c r="L80" s="83" t="n">
        <f aca="false">-AVERAGE(K124,L124)*L47</f>
        <v>-90</v>
      </c>
      <c r="M80" s="84" t="n">
        <f aca="false">-AVERAGE(L124,M124)*M47</f>
        <v>-90</v>
      </c>
    </row>
    <row r="81" customFormat="false" ht="15" hidden="false" customHeight="false" outlineLevel="0" collapsed="false">
      <c r="B81" s="26" t="s">
        <v>75</v>
      </c>
      <c r="F81" s="30" t="n">
        <v>-48</v>
      </c>
      <c r="G81" s="30" t="n">
        <v>-33</v>
      </c>
      <c r="H81" s="15" t="n">
        <v>-81</v>
      </c>
      <c r="I81" s="30" t="n">
        <v>0</v>
      </c>
      <c r="J81" s="20" t="n">
        <f aca="false">I81</f>
        <v>0</v>
      </c>
      <c r="K81" s="20" t="n">
        <f aca="false">J81</f>
        <v>0</v>
      </c>
      <c r="L81" s="20" t="n">
        <f aca="false">K81</f>
        <v>0</v>
      </c>
      <c r="M81" s="73" t="n">
        <f aca="false">L81</f>
        <v>0</v>
      </c>
    </row>
    <row r="82" customFormat="false" ht="15" hidden="false" customHeight="false" outlineLevel="0" collapsed="false">
      <c r="B82" s="78" t="s">
        <v>76</v>
      </c>
      <c r="C82" s="34"/>
      <c r="D82" s="34"/>
      <c r="E82" s="34"/>
      <c r="F82" s="32" t="n">
        <f aca="false">SUM(F78:F81)</f>
        <v>5006</v>
      </c>
      <c r="G82" s="32" t="n">
        <f aca="false">SUM(G78:G81)</f>
        <v>8947</v>
      </c>
      <c r="H82" s="79" t="n">
        <f aca="false">SUM(H78:H81)</f>
        <v>12066</v>
      </c>
      <c r="I82" s="32" t="n">
        <f aca="false">SUM(I78:I81)</f>
        <v>15014.2536377321</v>
      </c>
      <c r="J82" s="32" t="n">
        <f aca="false">SUM(J78:J81)</f>
        <v>17610.3993607267</v>
      </c>
      <c r="K82" s="32" t="n">
        <f aca="false">SUM(K78:K81)</f>
        <v>20383.4834523952</v>
      </c>
      <c r="L82" s="32" t="n">
        <f aca="false">SUM(L78:L81)</f>
        <v>22450.3923639723</v>
      </c>
      <c r="M82" s="79" t="n">
        <f aca="false">SUM(M78:M81)</f>
        <v>25350.7404643147</v>
      </c>
    </row>
    <row r="83" customFormat="false" ht="15" hidden="false" customHeight="false" outlineLevel="0" collapsed="false">
      <c r="B83" s="85" t="s">
        <v>77</v>
      </c>
      <c r="F83" s="30" t="n">
        <v>1511</v>
      </c>
      <c r="G83" s="30" t="n">
        <v>2828</v>
      </c>
      <c r="H83" s="15" t="n">
        <v>3831</v>
      </c>
      <c r="I83" s="83" t="n">
        <f aca="false">I82*I48</f>
        <v>4504.27609131962</v>
      </c>
      <c r="J83" s="83" t="n">
        <f aca="false">J82*J48</f>
        <v>5283.119808218</v>
      </c>
      <c r="K83" s="83" t="n">
        <f aca="false">K82*K48</f>
        <v>6115.04503571856</v>
      </c>
      <c r="L83" s="83" t="n">
        <f aca="false">L82*L48</f>
        <v>6735.11770919168</v>
      </c>
      <c r="M83" s="84" t="n">
        <f aca="false">M82*M48</f>
        <v>7605.22213929442</v>
      </c>
    </row>
    <row r="84" customFormat="false" ht="15" hidden="false" customHeight="false" outlineLevel="0" collapsed="false">
      <c r="B84" s="26"/>
      <c r="F84" s="8"/>
      <c r="G84" s="8"/>
      <c r="H84" s="9"/>
      <c r="I84" s="8"/>
      <c r="J84" s="8"/>
      <c r="K84" s="8"/>
      <c r="L84" s="8"/>
      <c r="M84" s="9"/>
    </row>
    <row r="85" customFormat="false" ht="15" hidden="false" customHeight="false" outlineLevel="0" collapsed="false">
      <c r="B85" s="80" t="s">
        <v>78</v>
      </c>
      <c r="F85" s="75" t="n">
        <f aca="false">F82-F83</f>
        <v>3495</v>
      </c>
      <c r="G85" s="75" t="n">
        <f aca="false">G82-G83</f>
        <v>6119</v>
      </c>
      <c r="H85" s="76" t="n">
        <f aca="false">H82-H83</f>
        <v>8235</v>
      </c>
      <c r="I85" s="75" t="n">
        <f aca="false">I82-I83</f>
        <v>10509.9775464124</v>
      </c>
      <c r="J85" s="75" t="n">
        <f aca="false">J82-J83</f>
        <v>12327.2795525087</v>
      </c>
      <c r="K85" s="75" t="n">
        <f aca="false">K82-K83</f>
        <v>14268.4384166766</v>
      </c>
      <c r="L85" s="75" t="n">
        <f aca="false">L82-L83</f>
        <v>15715.2746547806</v>
      </c>
      <c r="M85" s="76" t="n">
        <f aca="false">M82-M83</f>
        <v>17745.5183250203</v>
      </c>
    </row>
    <row r="86" customFormat="false" ht="15" hidden="false" customHeight="false" outlineLevel="0" collapsed="false">
      <c r="B86" s="26"/>
      <c r="F86" s="8"/>
      <c r="G86" s="8"/>
      <c r="H86" s="9"/>
      <c r="I86" s="8"/>
      <c r="J86" s="8"/>
      <c r="K86" s="8"/>
      <c r="L86" s="8"/>
      <c r="M86" s="9"/>
    </row>
    <row r="87" customFormat="false" ht="15" hidden="false" customHeight="false" outlineLevel="0" collapsed="false">
      <c r="B87" s="80" t="s">
        <v>79</v>
      </c>
      <c r="F87" s="86" t="n">
        <f aca="false">F85*Units/F88</f>
        <v>3.93009270295921</v>
      </c>
      <c r="G87" s="86" t="n">
        <f aca="false">G85*Units/G88</f>
        <v>6.78276850906568</v>
      </c>
      <c r="H87" s="87" t="n">
        <f aca="false">H85*Units/H88</f>
        <v>9.07933252848661</v>
      </c>
      <c r="I87" s="86" t="n">
        <f aca="false">I85*Units/I88</f>
        <v>11.5875629642752</v>
      </c>
      <c r="J87" s="86" t="n">
        <f aca="false">J85*Units/J88</f>
        <v>13.5911924989484</v>
      </c>
      <c r="K87" s="86" t="n">
        <f aca="false">K85*Units/K88</f>
        <v>15.7313779049472</v>
      </c>
      <c r="L87" s="86" t="n">
        <f aca="false">L85*Units/L88</f>
        <v>17.3265579073771</v>
      </c>
      <c r="M87" s="87" t="n">
        <f aca="false">M85*Units/M88</f>
        <v>19.5649619627459</v>
      </c>
    </row>
    <row r="88" customFormat="false" ht="15" hidden="false" customHeight="false" outlineLevel="0" collapsed="false">
      <c r="B88" s="85" t="s">
        <v>15</v>
      </c>
      <c r="C88" s="88"/>
      <c r="D88" s="88"/>
      <c r="E88" s="8"/>
      <c r="F88" s="19" t="n">
        <v>889292</v>
      </c>
      <c r="G88" s="19" t="n">
        <v>902139</v>
      </c>
      <c r="H88" s="89" t="n">
        <v>907005</v>
      </c>
      <c r="I88" s="21" t="n">
        <f aca="false">H88</f>
        <v>907005</v>
      </c>
      <c r="J88" s="21" t="n">
        <f aca="false">I88</f>
        <v>907005</v>
      </c>
      <c r="K88" s="21" t="n">
        <f aca="false">J88</f>
        <v>907005</v>
      </c>
      <c r="L88" s="21" t="n">
        <f aca="false">K88</f>
        <v>907005</v>
      </c>
      <c r="M88" s="90" t="n">
        <f aca="false">L88</f>
        <v>907005</v>
      </c>
    </row>
    <row r="89" customFormat="false" ht="15" hidden="false" customHeight="false" outlineLevel="0" collapsed="false">
      <c r="B89" s="85"/>
      <c r="C89" s="88"/>
      <c r="D89" s="88"/>
      <c r="E89" s="8"/>
      <c r="F89" s="19"/>
      <c r="G89" s="19"/>
      <c r="H89" s="89"/>
      <c r="I89" s="21"/>
      <c r="J89" s="21"/>
      <c r="K89" s="21"/>
      <c r="L89" s="21"/>
      <c r="M89" s="90"/>
    </row>
    <row r="90" customFormat="false" ht="15" hidden="false" customHeight="false" outlineLevel="0" collapsed="false">
      <c r="B90" s="74" t="s">
        <v>80</v>
      </c>
      <c r="C90" s="88"/>
      <c r="D90" s="88"/>
      <c r="E90" s="8"/>
      <c r="F90" s="75" t="n">
        <f aca="false">F78+F76</f>
        <v>4649</v>
      </c>
      <c r="G90" s="75" t="n">
        <f aca="false">G78+G76</f>
        <v>8843</v>
      </c>
      <c r="H90" s="76" t="n">
        <f aca="false">H78+H76</f>
        <v>12450</v>
      </c>
      <c r="I90" s="77" t="n">
        <f aca="false">I78+I76</f>
        <v>15522.5</v>
      </c>
      <c r="J90" s="75" t="n">
        <f aca="false">J78+J76</f>
        <v>18171.125</v>
      </c>
      <c r="K90" s="75" t="n">
        <f aca="false">K78+K76</f>
        <v>20183.01875</v>
      </c>
      <c r="L90" s="75" t="n">
        <f aca="false">L78+L76</f>
        <v>22017.0104375</v>
      </c>
      <c r="M90" s="76" t="n">
        <f aca="false">M78+M76</f>
        <v>23562.111168125</v>
      </c>
    </row>
    <row r="91" customFormat="false" ht="15" hidden="false" customHeight="false" outlineLevel="0" collapsed="false">
      <c r="B91" s="74" t="s">
        <v>81</v>
      </c>
      <c r="C91" s="88"/>
      <c r="D91" s="88"/>
      <c r="E91" s="8"/>
      <c r="F91" s="75" t="n">
        <f aca="false">F78+F76+F75+F74</f>
        <v>4976</v>
      </c>
      <c r="G91" s="75" t="n">
        <f aca="false">G78+G76+G75+G74</f>
        <v>9339</v>
      </c>
      <c r="H91" s="76" t="n">
        <f aca="false">H78+H76+H75+H74</f>
        <v>13184</v>
      </c>
      <c r="I91" s="77" t="n">
        <f aca="false">I78+I76+I75+I74</f>
        <v>16480</v>
      </c>
      <c r="J91" s="75" t="n">
        <f aca="false">J78+J76+J75+J74</f>
        <v>19281.6</v>
      </c>
      <c r="K91" s="75" t="n">
        <f aca="false">K78+K76+K75+K74</f>
        <v>21402.576</v>
      </c>
      <c r="L91" s="75" t="n">
        <f aca="false">L78+L76+L75+L74</f>
        <v>23328.80784</v>
      </c>
      <c r="M91" s="76" t="n">
        <f aca="false">M78+M76+M75+M74</f>
        <v>24961.8243888</v>
      </c>
    </row>
    <row r="92" customFormat="false" ht="15" hidden="false" customHeight="false" outlineLevel="0" collapsed="false">
      <c r="B92" s="74" t="s">
        <v>82</v>
      </c>
      <c r="C92" s="88"/>
      <c r="D92" s="88"/>
      <c r="E92" s="8"/>
      <c r="F92" s="75" t="n">
        <f aca="false">F157+F163</f>
        <v>4735</v>
      </c>
      <c r="G92" s="75" t="n">
        <f aca="false">G157+G163</f>
        <v>8505</v>
      </c>
      <c r="H92" s="76" t="n">
        <f aca="false">H157+H163</f>
        <v>10311</v>
      </c>
      <c r="I92" s="77" t="n">
        <f aca="false">I157+I163</f>
        <v>13060.7275464124</v>
      </c>
      <c r="J92" s="75" t="n">
        <f aca="false">J157+J163</f>
        <v>14618.4170525087</v>
      </c>
      <c r="K92" s="75" t="n">
        <f aca="false">K157+K163</f>
        <v>16157.8060416766</v>
      </c>
      <c r="L92" s="75" t="n">
        <f aca="false">L157+L163</f>
        <v>17507.2826160306</v>
      </c>
      <c r="M92" s="76" t="n">
        <f aca="false">M157+M163</f>
        <v>19381.6869910578</v>
      </c>
    </row>
    <row r="93" customFormat="false" ht="15" hidden="false" customHeight="false" outlineLevel="0" collapsed="false">
      <c r="B93" s="91" t="s">
        <v>83</v>
      </c>
      <c r="C93" s="92"/>
      <c r="D93" s="92"/>
      <c r="E93" s="45"/>
      <c r="F93" s="93"/>
      <c r="G93" s="94" t="n">
        <f aca="false">(G113-G110-G111-G126)*Units/G88</f>
        <v>24.1703329531259</v>
      </c>
      <c r="H93" s="95" t="n">
        <f aca="false">(H113-H110-H111-H126)*Units/H88</f>
        <v>34.5576926257297</v>
      </c>
      <c r="I93" s="94" t="n">
        <f aca="false">(I113-I110-I111-I126)*Units/I88</f>
        <v>47.1678519373239</v>
      </c>
      <c r="J93" s="94" t="n">
        <f aca="false">(J113-J110-J111-J126)*Units/J88</f>
        <v>61.9446773710411</v>
      </c>
      <c r="K93" s="94" t="n">
        <f aca="false">(K113-K110-K111-K126)*Units/K88</f>
        <v>78.9776977696901</v>
      </c>
      <c r="L93" s="94" t="n">
        <f aca="false">(L113-L110-L111-L126)*Units/L88</f>
        <v>97.7037296739029</v>
      </c>
      <c r="M93" s="95" t="n">
        <f aca="false">(M113-M110-M111-M126)*Units/M88</f>
        <v>118.761817921923</v>
      </c>
    </row>
    <row r="95" customFormat="false" ht="15" hidden="false" customHeight="false" outlineLevel="0" collapsed="false">
      <c r="B95" s="3" t="s">
        <v>84</v>
      </c>
      <c r="C95" s="4"/>
      <c r="D95" s="4"/>
      <c r="E95" s="4"/>
      <c r="F95" s="4"/>
      <c r="G95" s="5"/>
      <c r="H95" s="5"/>
      <c r="I95" s="5"/>
      <c r="J95" s="5"/>
      <c r="K95" s="5"/>
      <c r="L95" s="5"/>
      <c r="M95" s="6"/>
    </row>
    <row r="96" customFormat="false" ht="15" hidden="false" customHeight="false" outlineLevel="0" collapsed="false">
      <c r="B96" s="7"/>
      <c r="C96" s="8"/>
      <c r="D96" s="8"/>
      <c r="E96" s="40"/>
      <c r="F96" s="40"/>
      <c r="G96" s="38" t="str">
        <f aca="false">G$24</f>
        <v>FY 2008</v>
      </c>
      <c r="H96" s="39" t="str">
        <f aca="false">H$24</f>
        <v>FY 2009</v>
      </c>
      <c r="I96" s="38" t="str">
        <f aca="false">I$24</f>
        <v>FY 2010E</v>
      </c>
      <c r="J96" s="38" t="str">
        <f aca="false">J$24</f>
        <v>FY 2011E</v>
      </c>
      <c r="K96" s="38" t="str">
        <f aca="false">K$24</f>
        <v>FY 2012E</v>
      </c>
      <c r="L96" s="38" t="str">
        <f aca="false">L$24</f>
        <v>FY 2013E</v>
      </c>
      <c r="M96" s="39" t="str">
        <f aca="false">M$24</f>
        <v>FY 2014E</v>
      </c>
    </row>
    <row r="97" customFormat="false" ht="15" hidden="false" customHeight="false" outlineLevel="0" collapsed="false">
      <c r="B97" s="96" t="s">
        <v>85</v>
      </c>
      <c r="C97" s="96"/>
      <c r="D97" s="96"/>
      <c r="E97" s="97"/>
      <c r="F97" s="97"/>
      <c r="G97" s="97"/>
      <c r="H97" s="98"/>
      <c r="I97" s="34"/>
      <c r="M97" s="99"/>
    </row>
    <row r="98" customFormat="false" ht="15" hidden="false" customHeight="false" outlineLevel="0" collapsed="false">
      <c r="B98" s="10" t="s">
        <v>86</v>
      </c>
      <c r="C98" s="100"/>
      <c r="D98" s="100"/>
      <c r="E98" s="100"/>
      <c r="G98" s="100"/>
      <c r="H98" s="101"/>
      <c r="I98" s="8"/>
      <c r="M98" s="9"/>
    </row>
    <row r="99" customFormat="false" ht="15" hidden="false" customHeight="false" outlineLevel="0" collapsed="false">
      <c r="B99" s="26" t="s">
        <v>87</v>
      </c>
      <c r="C99" s="102"/>
      <c r="D99" s="102"/>
      <c r="E99" s="30"/>
      <c r="G99" s="20" t="n">
        <f aca="false">G178</f>
        <v>11875</v>
      </c>
      <c r="H99" s="73" t="n">
        <f aca="false">H178</f>
        <v>6559</v>
      </c>
      <c r="I99" s="20" t="n">
        <f aca="false">I178</f>
        <v>20619.7275464124</v>
      </c>
      <c r="J99" s="20" t="n">
        <f aca="false">J178</f>
        <v>35238.1445989211</v>
      </c>
      <c r="K99" s="20" t="n">
        <f aca="false">K178</f>
        <v>51395.9506405978</v>
      </c>
      <c r="L99" s="20" t="n">
        <f aca="false">L178</f>
        <v>68903.2332566283</v>
      </c>
      <c r="M99" s="73" t="n">
        <f aca="false">M178</f>
        <v>88284.9202476861</v>
      </c>
      <c r="O99" s="103"/>
    </row>
    <row r="100" customFormat="false" ht="15" hidden="false" customHeight="false" outlineLevel="0" collapsed="false">
      <c r="B100" s="26" t="s">
        <v>88</v>
      </c>
      <c r="C100" s="75"/>
      <c r="D100" s="70"/>
      <c r="E100" s="30"/>
      <c r="G100" s="30" t="n">
        <v>10236</v>
      </c>
      <c r="H100" s="73" t="n">
        <f aca="false">G100-H160-H161</f>
        <v>26282</v>
      </c>
      <c r="I100" s="20" t="n">
        <f aca="false">H100-I160-I161</f>
        <v>26282</v>
      </c>
      <c r="J100" s="20" t="n">
        <f aca="false">I100-J160-J161</f>
        <v>26282</v>
      </c>
      <c r="K100" s="20" t="n">
        <f aca="false">J100-K160-K161</f>
        <v>26282</v>
      </c>
      <c r="L100" s="20" t="n">
        <f aca="false">K100-L160-L161</f>
        <v>26282</v>
      </c>
      <c r="M100" s="73" t="n">
        <f aca="false">L100-M160-M161</f>
        <v>26282</v>
      </c>
    </row>
    <row r="101" customFormat="false" ht="15" hidden="false" customHeight="false" outlineLevel="0" collapsed="false">
      <c r="B101" s="26" t="s">
        <v>89</v>
      </c>
      <c r="C101" s="8"/>
      <c r="D101" s="8"/>
      <c r="E101" s="30"/>
      <c r="G101" s="30" t="n">
        <v>2422</v>
      </c>
      <c r="H101" s="15" t="n">
        <v>3361</v>
      </c>
      <c r="I101" s="20" t="n">
        <f aca="false">I50*I66</f>
        <v>4201.25</v>
      </c>
      <c r="J101" s="20" t="n">
        <f aca="false">J50*J66</f>
        <v>4915.4625</v>
      </c>
      <c r="K101" s="20" t="n">
        <f aca="false">K50*K66</f>
        <v>5456.163375</v>
      </c>
      <c r="L101" s="20" t="n">
        <f aca="false">L50*L66</f>
        <v>5947.21807875</v>
      </c>
      <c r="M101" s="73" t="n">
        <f aca="false">M50*M66</f>
        <v>6363.5233442625</v>
      </c>
    </row>
    <row r="102" customFormat="false" ht="15" hidden="false" customHeight="false" outlineLevel="0" collapsed="false">
      <c r="B102" s="26" t="s">
        <v>90</v>
      </c>
      <c r="C102" s="102"/>
      <c r="D102" s="102"/>
      <c r="E102" s="30"/>
      <c r="G102" s="30" t="n">
        <v>509</v>
      </c>
      <c r="H102" s="15" t="n">
        <v>455</v>
      </c>
      <c r="I102" s="20" t="n">
        <f aca="false">I52*I67</f>
        <v>568.75</v>
      </c>
      <c r="J102" s="20" t="n">
        <f aca="false">J52*J67</f>
        <v>665.4375</v>
      </c>
      <c r="K102" s="20" t="n">
        <f aca="false">K52*K67</f>
        <v>738.635625</v>
      </c>
      <c r="L102" s="20" t="n">
        <f aca="false">L52*L67</f>
        <v>805.11283125</v>
      </c>
      <c r="M102" s="73" t="n">
        <f aca="false">M52*M67</f>
        <v>861.4707294375</v>
      </c>
    </row>
    <row r="103" customFormat="false" ht="15" hidden="false" customHeight="false" outlineLevel="0" collapsed="false">
      <c r="B103" s="26" t="s">
        <v>91</v>
      </c>
      <c r="C103" s="102"/>
      <c r="D103" s="102"/>
      <c r="E103" s="30"/>
      <c r="G103" s="30" t="n">
        <v>1044</v>
      </c>
      <c r="H103" s="73" t="n">
        <f aca="false">G103-H147</f>
        <v>4</v>
      </c>
      <c r="I103" s="20" t="n">
        <f aca="false">H103-I147</f>
        <v>4</v>
      </c>
      <c r="J103" s="20" t="n">
        <f aca="false">I103-J147</f>
        <v>4</v>
      </c>
      <c r="K103" s="20" t="n">
        <f aca="false">J103-K147</f>
        <v>4</v>
      </c>
      <c r="L103" s="20" t="n">
        <f aca="false">K103-L147</f>
        <v>4</v>
      </c>
      <c r="M103" s="73" t="n">
        <f aca="false">L103-M147</f>
        <v>4</v>
      </c>
    </row>
    <row r="104" customFormat="false" ht="15" hidden="false" customHeight="false" outlineLevel="0" collapsed="false">
      <c r="B104" s="26" t="s">
        <v>92</v>
      </c>
      <c r="C104" s="75"/>
      <c r="D104" s="70"/>
      <c r="E104" s="30"/>
      <c r="G104" s="30" t="n">
        <v>3920</v>
      </c>
      <c r="H104" s="15" t="n">
        <v>3140</v>
      </c>
      <c r="I104" s="20" t="n">
        <f aca="false">H104</f>
        <v>3140</v>
      </c>
      <c r="J104" s="20" t="n">
        <f aca="false">I104</f>
        <v>3140</v>
      </c>
      <c r="K104" s="20" t="n">
        <f aca="false">J104</f>
        <v>3140</v>
      </c>
      <c r="L104" s="20" t="n">
        <f aca="false">K104</f>
        <v>3140</v>
      </c>
      <c r="M104" s="73" t="n">
        <f aca="false">L104</f>
        <v>3140</v>
      </c>
    </row>
    <row r="105" customFormat="false" ht="15" hidden="false" customHeight="false" outlineLevel="0" collapsed="false">
      <c r="B105" s="104" t="s">
        <v>93</v>
      </c>
      <c r="C105" s="105"/>
      <c r="D105" s="106"/>
      <c r="E105" s="107"/>
      <c r="F105" s="34"/>
      <c r="G105" s="107" t="n">
        <f aca="false">SUM(G99:G104)</f>
        <v>30006</v>
      </c>
      <c r="H105" s="108" t="n">
        <f aca="false">SUM(H99:H104)</f>
        <v>39801</v>
      </c>
      <c r="I105" s="107" t="n">
        <f aca="false">SUM(I99:I104)</f>
        <v>54815.7275464124</v>
      </c>
      <c r="J105" s="107" t="n">
        <f aca="false">SUM(J99:J104)</f>
        <v>70245.0445989211</v>
      </c>
      <c r="K105" s="107" t="n">
        <f aca="false">SUM(K99:K104)</f>
        <v>87016.7496405978</v>
      </c>
      <c r="L105" s="107" t="n">
        <f aca="false">SUM(L99:L104)</f>
        <v>105081.564166628</v>
      </c>
      <c r="M105" s="108" t="n">
        <f aca="false">SUM(M99:M104)</f>
        <v>124935.914321386</v>
      </c>
    </row>
    <row r="106" customFormat="false" ht="15" hidden="false" customHeight="false" outlineLevel="0" collapsed="false">
      <c r="B106" s="7"/>
      <c r="C106" s="75"/>
      <c r="D106" s="70"/>
      <c r="E106" s="70"/>
      <c r="G106" s="70"/>
      <c r="H106" s="71"/>
      <c r="I106" s="70"/>
      <c r="J106" s="70"/>
      <c r="K106" s="70"/>
      <c r="L106" s="70"/>
      <c r="M106" s="71"/>
    </row>
    <row r="107" customFormat="false" ht="15" hidden="false" customHeight="false" outlineLevel="0" collapsed="false">
      <c r="B107" s="10" t="s">
        <v>94</v>
      </c>
      <c r="C107" s="75"/>
      <c r="D107" s="70"/>
      <c r="E107" s="70"/>
      <c r="G107" s="70"/>
      <c r="H107" s="71"/>
      <c r="I107" s="70"/>
      <c r="J107" s="70"/>
      <c r="K107" s="70"/>
      <c r="L107" s="70"/>
      <c r="M107" s="71"/>
    </row>
    <row r="108" customFormat="false" ht="15" hidden="false" customHeight="false" outlineLevel="0" collapsed="false">
      <c r="B108" s="26" t="s">
        <v>95</v>
      </c>
      <c r="C108" s="109"/>
      <c r="D108" s="20"/>
      <c r="E108" s="30"/>
      <c r="G108" s="30" t="n">
        <v>2379</v>
      </c>
      <c r="H108" s="73" t="n">
        <f aca="false">G108-H162-H165</f>
        <v>2554</v>
      </c>
      <c r="I108" s="20" t="n">
        <f aca="false">H108-I162-I165</f>
        <v>2554</v>
      </c>
      <c r="J108" s="20" t="n">
        <f aca="false">I108-J162-J165</f>
        <v>2554</v>
      </c>
      <c r="K108" s="20" t="n">
        <f aca="false">J108-K162-K165</f>
        <v>2554</v>
      </c>
      <c r="L108" s="20" t="n">
        <f aca="false">K108-L162-L165</f>
        <v>2554</v>
      </c>
      <c r="M108" s="73" t="n">
        <f aca="false">L108-M162-M165</f>
        <v>2554</v>
      </c>
    </row>
    <row r="109" customFormat="false" ht="15" hidden="false" customHeight="false" outlineLevel="0" collapsed="false">
      <c r="B109" s="26" t="s">
        <v>96</v>
      </c>
      <c r="C109" s="75"/>
      <c r="D109" s="70"/>
      <c r="E109" s="30"/>
      <c r="G109" s="30" t="n">
        <v>2455</v>
      </c>
      <c r="H109" s="73" t="n">
        <f aca="false">G109-H163-H144-H148</f>
        <v>2839</v>
      </c>
      <c r="I109" s="20" t="n">
        <f aca="false">H109-I163-I144-I148</f>
        <v>3351.5</v>
      </c>
      <c r="J109" s="20" t="n">
        <f aca="false">I109-J163-J144-J148</f>
        <v>3951.125</v>
      </c>
      <c r="K109" s="20" t="n">
        <f aca="false">J109-K163-K144-K148</f>
        <v>4616.70875</v>
      </c>
      <c r="L109" s="20" t="n">
        <f aca="false">K109-L163-L144-L148</f>
        <v>5342.1950375</v>
      </c>
      <c r="M109" s="73" t="n">
        <f aca="false">L109-M163-M144-M148</f>
        <v>6118.465365125</v>
      </c>
    </row>
    <row r="110" customFormat="false" ht="15" hidden="false" customHeight="false" outlineLevel="0" collapsed="false">
      <c r="B110" s="26" t="s">
        <v>97</v>
      </c>
      <c r="C110" s="110"/>
      <c r="D110" s="111"/>
      <c r="E110" s="30"/>
      <c r="G110" s="30" t="n">
        <v>207</v>
      </c>
      <c r="H110" s="73" t="n">
        <f aca="false">G110</f>
        <v>207</v>
      </c>
      <c r="I110" s="20" t="n">
        <f aca="false">H110</f>
        <v>207</v>
      </c>
      <c r="J110" s="20" t="n">
        <f aca="false">I110</f>
        <v>207</v>
      </c>
      <c r="K110" s="20" t="n">
        <f aca="false">J110</f>
        <v>207</v>
      </c>
      <c r="L110" s="20" t="n">
        <f aca="false">K110</f>
        <v>207</v>
      </c>
      <c r="M110" s="73" t="n">
        <f aca="false">L110</f>
        <v>207</v>
      </c>
    </row>
    <row r="111" customFormat="false" ht="15" hidden="false" customHeight="false" outlineLevel="0" collapsed="false">
      <c r="B111" s="112" t="s">
        <v>98</v>
      </c>
      <c r="C111" s="113"/>
      <c r="D111" s="114"/>
      <c r="E111" s="30"/>
      <c r="G111" s="30" t="n">
        <v>285</v>
      </c>
      <c r="H111" s="73" t="n">
        <f aca="false">G111-H145-H164</f>
        <v>354</v>
      </c>
      <c r="I111" s="20" t="n">
        <f aca="false">H111-I145-I164</f>
        <v>314</v>
      </c>
      <c r="J111" s="20" t="n">
        <f aca="false">I111-J145-J164</f>
        <v>277</v>
      </c>
      <c r="K111" s="20" t="n">
        <f aca="false">J111-K145-K164</f>
        <v>249</v>
      </c>
      <c r="L111" s="20" t="n">
        <f aca="false">K111-L145-L164</f>
        <v>236</v>
      </c>
      <c r="M111" s="73" t="n">
        <f aca="false">L111-M145-M164</f>
        <v>226</v>
      </c>
    </row>
    <row r="112" customFormat="false" ht="15" hidden="false" customHeight="false" outlineLevel="0" collapsed="false">
      <c r="B112" s="112" t="s">
        <v>99</v>
      </c>
      <c r="C112" s="113"/>
      <c r="D112" s="114"/>
      <c r="E112" s="30"/>
      <c r="G112" s="30" t="n">
        <v>839</v>
      </c>
      <c r="H112" s="15" t="n">
        <v>2011</v>
      </c>
      <c r="I112" s="20" t="n">
        <f aca="false">H112</f>
        <v>2011</v>
      </c>
      <c r="J112" s="20" t="n">
        <f aca="false">I112</f>
        <v>2011</v>
      </c>
      <c r="K112" s="20" t="n">
        <f aca="false">J112</f>
        <v>2011</v>
      </c>
      <c r="L112" s="20" t="n">
        <f aca="false">K112</f>
        <v>2011</v>
      </c>
      <c r="M112" s="73" t="n">
        <f aca="false">L112</f>
        <v>2011</v>
      </c>
    </row>
    <row r="113" customFormat="false" ht="15" hidden="false" customHeight="false" outlineLevel="0" collapsed="false">
      <c r="B113" s="104" t="s">
        <v>100</v>
      </c>
      <c r="C113" s="105"/>
      <c r="D113" s="106"/>
      <c r="E113" s="107"/>
      <c r="F113" s="34"/>
      <c r="G113" s="107" t="n">
        <f aca="false">SUM(G108:G112)+G105</f>
        <v>36171</v>
      </c>
      <c r="H113" s="108" t="n">
        <f aca="false">SUM(H108:H112)+H105</f>
        <v>47766</v>
      </c>
      <c r="I113" s="107" t="n">
        <f aca="false">SUM(I108:I112)+I105</f>
        <v>63253.2275464124</v>
      </c>
      <c r="J113" s="107" t="n">
        <f aca="false">SUM(J108:J112)+J105</f>
        <v>79245.1695989211</v>
      </c>
      <c r="K113" s="107" t="n">
        <f aca="false">SUM(K108:K112)+K105</f>
        <v>96654.4583905978</v>
      </c>
      <c r="L113" s="107" t="n">
        <f aca="false">SUM(L108:L112)+L105</f>
        <v>115431.759204128</v>
      </c>
      <c r="M113" s="108" t="n">
        <f aca="false">SUM(M108:M112)+M105</f>
        <v>136052.379686511</v>
      </c>
    </row>
    <row r="114" customFormat="false" ht="15" hidden="false" customHeight="false" outlineLevel="0" collapsed="false">
      <c r="B114" s="115"/>
      <c r="C114" s="113"/>
      <c r="D114" s="114"/>
      <c r="E114" s="114"/>
      <c r="G114" s="114"/>
      <c r="H114" s="116"/>
      <c r="I114" s="114"/>
      <c r="J114" s="114"/>
      <c r="K114" s="114"/>
      <c r="L114" s="114"/>
      <c r="M114" s="116"/>
    </row>
    <row r="115" customFormat="false" ht="15" hidden="false" customHeight="false" outlineLevel="0" collapsed="false">
      <c r="B115" s="117" t="s">
        <v>101</v>
      </c>
      <c r="C115" s="117"/>
      <c r="D115" s="117"/>
      <c r="E115" s="117"/>
      <c r="G115" s="118"/>
      <c r="H115" s="119"/>
      <c r="I115" s="118"/>
      <c r="J115" s="118"/>
      <c r="K115" s="118"/>
      <c r="L115" s="118"/>
      <c r="M115" s="119"/>
    </row>
    <row r="116" customFormat="false" ht="15" hidden="false" customHeight="false" outlineLevel="0" collapsed="false">
      <c r="B116" s="10" t="s">
        <v>102</v>
      </c>
      <c r="C116" s="75"/>
      <c r="D116" s="70"/>
      <c r="E116" s="70"/>
      <c r="G116" s="70"/>
      <c r="H116" s="71"/>
      <c r="I116" s="70"/>
      <c r="J116" s="70"/>
      <c r="K116" s="70"/>
      <c r="L116" s="70"/>
      <c r="M116" s="71"/>
    </row>
    <row r="117" customFormat="false" ht="15" hidden="false" customHeight="false" outlineLevel="0" collapsed="false">
      <c r="B117" s="26" t="s">
        <v>103</v>
      </c>
      <c r="C117" s="75"/>
      <c r="D117" s="70"/>
      <c r="E117" s="30"/>
      <c r="G117" s="30" t="n">
        <v>5520</v>
      </c>
      <c r="H117" s="15" t="n">
        <v>5601</v>
      </c>
      <c r="I117" s="20" t="n">
        <f aca="false">I55*I67</f>
        <v>7001.25</v>
      </c>
      <c r="J117" s="20" t="n">
        <f aca="false">J55*J67</f>
        <v>8191.4625</v>
      </c>
      <c r="K117" s="20" t="n">
        <f aca="false">K55*K67</f>
        <v>9092.523375</v>
      </c>
      <c r="L117" s="20" t="n">
        <f aca="false">L55*L67</f>
        <v>9910.85047875</v>
      </c>
      <c r="M117" s="73" t="n">
        <f aca="false">M55*M67</f>
        <v>10604.6100122625</v>
      </c>
    </row>
    <row r="118" customFormat="false" ht="15" hidden="false" customHeight="false" outlineLevel="0" collapsed="false">
      <c r="B118" s="26" t="s">
        <v>104</v>
      </c>
      <c r="C118" s="75"/>
      <c r="D118" s="70"/>
      <c r="E118" s="30"/>
      <c r="G118" s="30" t="n">
        <v>4224</v>
      </c>
      <c r="H118" s="15" t="n">
        <v>3852</v>
      </c>
      <c r="I118" s="20" t="n">
        <f aca="false">I57*I72</f>
        <v>4815</v>
      </c>
      <c r="J118" s="20" t="n">
        <f aca="false">J57*J72</f>
        <v>5633.55</v>
      </c>
      <c r="K118" s="20" t="n">
        <f aca="false">K57*K72</f>
        <v>6253.2405</v>
      </c>
      <c r="L118" s="20" t="n">
        <f aca="false">L57*L72</f>
        <v>6816.032145</v>
      </c>
      <c r="M118" s="73" t="n">
        <f aca="false">M57*M72</f>
        <v>7293.15439515</v>
      </c>
    </row>
    <row r="119" customFormat="false" ht="15" hidden="false" customHeight="false" outlineLevel="0" collapsed="false">
      <c r="B119" s="26" t="s">
        <v>105</v>
      </c>
      <c r="C119" s="8"/>
      <c r="D119" s="8"/>
      <c r="E119" s="30"/>
      <c r="G119" s="30" t="n">
        <v>1617</v>
      </c>
      <c r="H119" s="15" t="n">
        <v>2053</v>
      </c>
      <c r="I119" s="20" t="n">
        <f aca="false">I58*I66</f>
        <v>2566.25</v>
      </c>
      <c r="J119" s="20" t="n">
        <f aca="false">J58*J66</f>
        <v>3002.5125</v>
      </c>
      <c r="K119" s="20" t="n">
        <f aca="false">K58*K66</f>
        <v>3332.788875</v>
      </c>
      <c r="L119" s="20" t="n">
        <f aca="false">L58*L66</f>
        <v>3632.73987375</v>
      </c>
      <c r="M119" s="73" t="n">
        <f aca="false">M58*M66</f>
        <v>3887.0316649125</v>
      </c>
    </row>
    <row r="120" customFormat="false" ht="15" hidden="false" customHeight="false" outlineLevel="0" collapsed="false">
      <c r="B120" s="104" t="s">
        <v>106</v>
      </c>
      <c r="C120" s="34"/>
      <c r="D120" s="34"/>
      <c r="E120" s="107"/>
      <c r="F120" s="34"/>
      <c r="G120" s="107" t="n">
        <f aca="false">SUM(G117:G119)</f>
        <v>11361</v>
      </c>
      <c r="H120" s="108" t="n">
        <f aca="false">SUM(H117:H119)</f>
        <v>11506</v>
      </c>
      <c r="I120" s="107" t="n">
        <f aca="false">SUM(I117:I119)</f>
        <v>14382.5</v>
      </c>
      <c r="J120" s="107" t="n">
        <f aca="false">SUM(J117:J119)</f>
        <v>16827.525</v>
      </c>
      <c r="K120" s="107" t="n">
        <f aca="false">SUM(K117:K119)</f>
        <v>18678.55275</v>
      </c>
      <c r="L120" s="107" t="n">
        <f aca="false">SUM(L117:L119)</f>
        <v>20359.6224975</v>
      </c>
      <c r="M120" s="108" t="n">
        <f aca="false">SUM(M117:M119)</f>
        <v>21784.796072325</v>
      </c>
    </row>
    <row r="121" customFormat="false" ht="15" hidden="false" customHeight="false" outlineLevel="0" collapsed="false">
      <c r="B121" s="7"/>
      <c r="C121" s="8"/>
      <c r="D121" s="8"/>
      <c r="E121" s="8"/>
      <c r="G121" s="8"/>
      <c r="H121" s="9"/>
      <c r="I121" s="8"/>
      <c r="J121" s="8"/>
      <c r="K121" s="8"/>
      <c r="L121" s="8"/>
      <c r="M121" s="9"/>
    </row>
    <row r="122" customFormat="false" ht="15" hidden="false" customHeight="false" outlineLevel="0" collapsed="false">
      <c r="B122" s="10" t="s">
        <v>107</v>
      </c>
      <c r="C122" s="8"/>
      <c r="D122" s="8"/>
      <c r="E122" s="8"/>
      <c r="G122" s="8"/>
      <c r="H122" s="9"/>
      <c r="I122" s="8"/>
      <c r="J122" s="8"/>
      <c r="K122" s="8"/>
      <c r="L122" s="8"/>
      <c r="M122" s="9"/>
    </row>
    <row r="123" customFormat="false" ht="15" hidden="false" customHeight="false" outlineLevel="0" collapsed="false">
      <c r="B123" s="26" t="s">
        <v>105</v>
      </c>
      <c r="C123" s="8"/>
      <c r="D123" s="8"/>
      <c r="E123" s="30"/>
      <c r="G123" s="30" t="n">
        <v>768</v>
      </c>
      <c r="H123" s="15" t="n">
        <v>853</v>
      </c>
      <c r="I123" s="20" t="n">
        <f aca="false">I59*I66</f>
        <v>1066.25</v>
      </c>
      <c r="J123" s="20" t="n">
        <f aca="false">J59*J66</f>
        <v>1247.5125</v>
      </c>
      <c r="K123" s="20" t="n">
        <f aca="false">K59*K66</f>
        <v>1384.738875</v>
      </c>
      <c r="L123" s="20" t="n">
        <f aca="false">L59*L66</f>
        <v>1509.36537375</v>
      </c>
      <c r="M123" s="73" t="n">
        <f aca="false">M59*M66</f>
        <v>1615.0209499125</v>
      </c>
    </row>
    <row r="124" customFormat="false" ht="15" hidden="false" customHeight="false" outlineLevel="0" collapsed="false">
      <c r="B124" s="26" t="s">
        <v>108</v>
      </c>
      <c r="C124" s="8"/>
      <c r="D124" s="8"/>
      <c r="E124" s="30"/>
      <c r="G124" s="30" t="n">
        <v>0</v>
      </c>
      <c r="H124" s="15" t="n">
        <v>0</v>
      </c>
      <c r="I124" s="20" t="n">
        <f aca="false">H124+I173</f>
        <v>1000</v>
      </c>
      <c r="J124" s="20" t="n">
        <f aca="false">I124+J173</f>
        <v>1000</v>
      </c>
      <c r="K124" s="20" t="n">
        <f aca="false">J124+K173</f>
        <v>1000</v>
      </c>
      <c r="L124" s="20" t="n">
        <f aca="false">K124+L173</f>
        <v>1000</v>
      </c>
      <c r="M124" s="73" t="n">
        <f aca="false">L124+M173</f>
        <v>1000</v>
      </c>
    </row>
    <row r="125" customFormat="false" ht="15" hidden="false" customHeight="false" outlineLevel="0" collapsed="false">
      <c r="B125" s="26" t="s">
        <v>109</v>
      </c>
      <c r="C125" s="8"/>
      <c r="D125" s="8"/>
      <c r="E125" s="30"/>
      <c r="G125" s="30" t="n">
        <v>1745</v>
      </c>
      <c r="H125" s="15" t="n">
        <v>3502</v>
      </c>
      <c r="I125" s="20" t="n">
        <f aca="false">H125</f>
        <v>3502</v>
      </c>
      <c r="J125" s="20" t="n">
        <f aca="false">I125</f>
        <v>3502</v>
      </c>
      <c r="K125" s="20" t="n">
        <f aca="false">J125</f>
        <v>3502</v>
      </c>
      <c r="L125" s="20" t="n">
        <f aca="false">K125</f>
        <v>3502</v>
      </c>
      <c r="M125" s="73" t="n">
        <f aca="false">L125</f>
        <v>3502</v>
      </c>
    </row>
    <row r="126" customFormat="false" ht="15" hidden="false" customHeight="false" outlineLevel="0" collapsed="false">
      <c r="B126" s="104" t="s">
        <v>110</v>
      </c>
      <c r="C126" s="34"/>
      <c r="D126" s="34"/>
      <c r="E126" s="107"/>
      <c r="F126" s="34"/>
      <c r="G126" s="107" t="n">
        <f aca="false">SUM(G123:G125)+G120</f>
        <v>13874</v>
      </c>
      <c r="H126" s="108" t="n">
        <f aca="false">SUM(H123:H125)+H120</f>
        <v>15861</v>
      </c>
      <c r="I126" s="107" t="n">
        <f aca="false">SUM(I123:I125)+I120</f>
        <v>19950.75</v>
      </c>
      <c r="J126" s="107" t="n">
        <f aca="false">SUM(J123:J125)+J120</f>
        <v>22577.0375</v>
      </c>
      <c r="K126" s="107" t="n">
        <f aca="false">SUM(K123:K125)+K120</f>
        <v>24565.291625</v>
      </c>
      <c r="L126" s="107" t="n">
        <f aca="false">SUM(L123:L125)+L120</f>
        <v>26370.98787125</v>
      </c>
      <c r="M126" s="108" t="n">
        <f aca="false">SUM(M123:M125)+M120</f>
        <v>27901.8170222375</v>
      </c>
    </row>
    <row r="127" customFormat="false" ht="15" hidden="false" customHeight="false" outlineLevel="0" collapsed="false">
      <c r="B127" s="7"/>
      <c r="C127" s="8"/>
      <c r="D127" s="8"/>
      <c r="E127" s="8"/>
      <c r="G127" s="8"/>
      <c r="H127" s="9"/>
      <c r="I127" s="8"/>
      <c r="J127" s="8"/>
      <c r="K127" s="8"/>
      <c r="L127" s="8"/>
      <c r="M127" s="9"/>
    </row>
    <row r="128" customFormat="false" ht="15" hidden="false" customHeight="false" outlineLevel="0" collapsed="false">
      <c r="B128" s="10" t="s">
        <v>111</v>
      </c>
      <c r="C128" s="8"/>
      <c r="D128" s="8"/>
      <c r="E128" s="8"/>
      <c r="G128" s="8"/>
      <c r="H128" s="9"/>
      <c r="I128" s="8"/>
      <c r="J128" s="8"/>
      <c r="K128" s="8"/>
      <c r="L128" s="8"/>
      <c r="M128" s="9"/>
    </row>
    <row r="129" customFormat="false" ht="15" hidden="false" customHeight="false" outlineLevel="0" collapsed="false">
      <c r="B129" s="26" t="s">
        <v>112</v>
      </c>
      <c r="C129" s="8"/>
      <c r="D129" s="8"/>
      <c r="E129" s="30"/>
      <c r="G129" s="30" t="n">
        <v>7177</v>
      </c>
      <c r="H129" s="73" t="n">
        <f aca="false">G129</f>
        <v>7177</v>
      </c>
      <c r="I129" s="20" t="n">
        <f aca="false">H129</f>
        <v>7177</v>
      </c>
      <c r="J129" s="20" t="n">
        <f aca="false">I129</f>
        <v>7177</v>
      </c>
      <c r="K129" s="20" t="n">
        <f aca="false">J129</f>
        <v>7177</v>
      </c>
      <c r="L129" s="20" t="n">
        <f aca="false">K129</f>
        <v>7177</v>
      </c>
      <c r="M129" s="73" t="n">
        <f aca="false">L129</f>
        <v>7177</v>
      </c>
    </row>
    <row r="130" customFormat="false" ht="15" hidden="false" customHeight="false" outlineLevel="0" collapsed="false">
      <c r="B130" s="26" t="s">
        <v>113</v>
      </c>
      <c r="C130" s="8"/>
      <c r="D130" s="8"/>
      <c r="E130" s="30"/>
      <c r="G130" s="30" t="n">
        <v>0</v>
      </c>
      <c r="H130" s="73" t="n">
        <f aca="false">G130+H169+H146</f>
        <v>1185</v>
      </c>
      <c r="I130" s="20" t="n">
        <f aca="false">H130+I169+I146</f>
        <v>2072.5</v>
      </c>
      <c r="J130" s="20" t="n">
        <f aca="false">I130+J169+J146</f>
        <v>3110.875</v>
      </c>
      <c r="K130" s="20" t="n">
        <f aca="false">J130+K169+K146</f>
        <v>4263.47125</v>
      </c>
      <c r="L130" s="20" t="n">
        <f aca="false">K130+L169+L146</f>
        <v>5519.8011625</v>
      </c>
      <c r="M130" s="73" t="n">
        <f aca="false">L130+M169+M146</f>
        <v>6864.074168875</v>
      </c>
    </row>
    <row r="131" customFormat="false" ht="15" hidden="false" customHeight="false" outlineLevel="0" collapsed="false">
      <c r="B131" s="26" t="s">
        <v>114</v>
      </c>
      <c r="C131" s="8"/>
      <c r="D131" s="8"/>
      <c r="E131" s="30"/>
      <c r="G131" s="30" t="n">
        <v>0</v>
      </c>
      <c r="H131" s="73" t="n">
        <f aca="false">G131+H170</f>
        <v>0</v>
      </c>
      <c r="I131" s="20" t="n">
        <f aca="false">H131+I170</f>
        <v>0</v>
      </c>
      <c r="J131" s="20" t="n">
        <f aca="false">I131+J170</f>
        <v>0</v>
      </c>
      <c r="K131" s="20" t="n">
        <f aca="false">J131+K170</f>
        <v>0</v>
      </c>
      <c r="L131" s="20" t="n">
        <f aca="false">K131+L170</f>
        <v>0</v>
      </c>
      <c r="M131" s="73" t="n">
        <f aca="false">L131+M170</f>
        <v>0</v>
      </c>
    </row>
    <row r="132" customFormat="false" ht="15" hidden="false" customHeight="false" outlineLevel="0" collapsed="false">
      <c r="B132" s="26" t="s">
        <v>115</v>
      </c>
      <c r="C132" s="8"/>
      <c r="D132" s="8"/>
      <c r="E132" s="30"/>
      <c r="G132" s="30" t="n">
        <v>15129</v>
      </c>
      <c r="H132" s="73" t="n">
        <f aca="false">G132+H85-H171</f>
        <v>23364</v>
      </c>
      <c r="I132" s="20" t="n">
        <f aca="false">H132+I85-I171</f>
        <v>33873.9775464124</v>
      </c>
      <c r="J132" s="20" t="n">
        <f aca="false">I132+J85-J171</f>
        <v>46201.2570989211</v>
      </c>
      <c r="K132" s="20" t="n">
        <f aca="false">J132+K85-K171</f>
        <v>60469.6955155978</v>
      </c>
      <c r="L132" s="20" t="n">
        <f aca="false">K132+L85-L171</f>
        <v>76184.9701703783</v>
      </c>
      <c r="M132" s="73" t="n">
        <f aca="false">L132+M85-M171</f>
        <v>93930.4884953987</v>
      </c>
    </row>
    <row r="133" customFormat="false" ht="15" hidden="false" customHeight="false" outlineLevel="0" collapsed="false">
      <c r="B133" s="26" t="s">
        <v>116</v>
      </c>
      <c r="C133" s="8"/>
      <c r="D133" s="8"/>
      <c r="E133" s="30"/>
      <c r="G133" s="30" t="n">
        <v>-9</v>
      </c>
      <c r="H133" s="73" t="n">
        <f aca="false">G133+H172+H174</f>
        <v>179</v>
      </c>
      <c r="I133" s="20" t="n">
        <f aca="false">H133+I172+I174</f>
        <v>179</v>
      </c>
      <c r="J133" s="20" t="n">
        <f aca="false">I133+J172+J174</f>
        <v>179</v>
      </c>
      <c r="K133" s="20" t="n">
        <f aca="false">J133+K172+K174</f>
        <v>179</v>
      </c>
      <c r="L133" s="20" t="n">
        <f aca="false">K133+L172+L174</f>
        <v>179</v>
      </c>
      <c r="M133" s="73" t="n">
        <f aca="false">L133+M172+M174</f>
        <v>179</v>
      </c>
    </row>
    <row r="134" customFormat="false" ht="15" hidden="false" customHeight="false" outlineLevel="0" collapsed="false">
      <c r="B134" s="104" t="s">
        <v>117</v>
      </c>
      <c r="C134" s="34"/>
      <c r="D134" s="34"/>
      <c r="E134" s="107"/>
      <c r="F134" s="34"/>
      <c r="G134" s="107" t="n">
        <f aca="false">SUM(G129:G133)</f>
        <v>22297</v>
      </c>
      <c r="H134" s="108" t="n">
        <f aca="false">SUM(H129:H133)</f>
        <v>31905</v>
      </c>
      <c r="I134" s="107" t="n">
        <f aca="false">SUM(I129:I133)</f>
        <v>43302.4775464124</v>
      </c>
      <c r="J134" s="107" t="n">
        <f aca="false">SUM(J129:J133)</f>
        <v>56668.1320989211</v>
      </c>
      <c r="K134" s="107" t="n">
        <f aca="false">SUM(K129:K133)</f>
        <v>72089.1667655978</v>
      </c>
      <c r="L134" s="107" t="n">
        <f aca="false">SUM(L129:L133)</f>
        <v>89060.7713328783</v>
      </c>
      <c r="M134" s="108" t="n">
        <f aca="false">SUM(M129:M133)</f>
        <v>108150.562664274</v>
      </c>
    </row>
    <row r="135" customFormat="false" ht="15" hidden="false" customHeight="false" outlineLevel="0" collapsed="false">
      <c r="B135" s="7"/>
      <c r="C135" s="8"/>
      <c r="D135" s="8"/>
      <c r="E135" s="8"/>
      <c r="G135" s="8"/>
      <c r="H135" s="9"/>
      <c r="I135" s="8"/>
      <c r="J135" s="8"/>
      <c r="K135" s="8"/>
      <c r="L135" s="8"/>
      <c r="M135" s="9"/>
    </row>
    <row r="136" customFormat="false" ht="15" hidden="false" customHeight="false" outlineLevel="0" collapsed="false">
      <c r="B136" s="44" t="s">
        <v>118</v>
      </c>
      <c r="C136" s="45"/>
      <c r="D136" s="45"/>
      <c r="E136" s="120"/>
      <c r="F136" s="45"/>
      <c r="G136" s="120" t="n">
        <f aca="false">G134+G126</f>
        <v>36171</v>
      </c>
      <c r="H136" s="121" t="n">
        <f aca="false">H134+H126</f>
        <v>47766</v>
      </c>
      <c r="I136" s="120" t="n">
        <f aca="false">I134+I126</f>
        <v>63253.2275464124</v>
      </c>
      <c r="J136" s="120" t="n">
        <f aca="false">J134+J126</f>
        <v>79245.1695989211</v>
      </c>
      <c r="K136" s="120" t="n">
        <f aca="false">K134+K126</f>
        <v>96654.4583905978</v>
      </c>
      <c r="L136" s="120" t="n">
        <f aca="false">L134+L126</f>
        <v>115431.759204128</v>
      </c>
      <c r="M136" s="121" t="n">
        <f aca="false">M134+M126</f>
        <v>136052.379686511</v>
      </c>
    </row>
    <row r="138" customFormat="false" ht="15" hidden="false" customHeight="false" outlineLevel="0" collapsed="false">
      <c r="B138" s="1" t="s">
        <v>119</v>
      </c>
      <c r="G138" s="122" t="n">
        <f aca="false">G113-G136</f>
        <v>0</v>
      </c>
      <c r="H138" s="122" t="n">
        <f aca="false">H113-H136</f>
        <v>0</v>
      </c>
      <c r="I138" s="122" t="n">
        <f aca="false">I113-I136</f>
        <v>0</v>
      </c>
      <c r="J138" s="122" t="n">
        <f aca="false">J113-J136</f>
        <v>0</v>
      </c>
      <c r="K138" s="122" t="n">
        <f aca="false">K113-K136</f>
        <v>0</v>
      </c>
      <c r="L138" s="122" t="n">
        <f aca="false">L113-L136</f>
        <v>0</v>
      </c>
      <c r="M138" s="122" t="n">
        <f aca="false">M113-M136</f>
        <v>0</v>
      </c>
    </row>
    <row r="140" customFormat="false" ht="15" hidden="false" customHeight="false" outlineLevel="0" collapsed="false">
      <c r="B140" s="3" t="s">
        <v>120</v>
      </c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6"/>
    </row>
    <row r="141" customFormat="false" ht="15" hidden="false" customHeight="false" outlineLevel="0" collapsed="false">
      <c r="B141" s="7"/>
      <c r="C141" s="8"/>
      <c r="F141" s="38" t="str">
        <f aca="false">F$24</f>
        <v>FY 2007</v>
      </c>
      <c r="G141" s="38" t="str">
        <f aca="false">G$24</f>
        <v>FY 2008</v>
      </c>
      <c r="H141" s="39" t="str">
        <f aca="false">H$24</f>
        <v>FY 2009</v>
      </c>
      <c r="I141" s="38" t="str">
        <f aca="false">I$24</f>
        <v>FY 2010E</v>
      </c>
      <c r="J141" s="38" t="str">
        <f aca="false">J$24</f>
        <v>FY 2011E</v>
      </c>
      <c r="K141" s="38" t="str">
        <f aca="false">K$24</f>
        <v>FY 2012E</v>
      </c>
      <c r="L141" s="38" t="str">
        <f aca="false">L$24</f>
        <v>FY 2013E</v>
      </c>
      <c r="M141" s="39" t="str">
        <f aca="false">M$24</f>
        <v>FY 2014E</v>
      </c>
    </row>
    <row r="142" customFormat="false" ht="15" hidden="false" customHeight="false" outlineLevel="0" collapsed="false">
      <c r="B142" s="96" t="s">
        <v>121</v>
      </c>
      <c r="C142" s="96"/>
      <c r="D142" s="96"/>
      <c r="E142" s="96"/>
      <c r="H142" s="67"/>
      <c r="M142" s="9"/>
    </row>
    <row r="143" customFormat="false" ht="15" hidden="false" customHeight="false" outlineLevel="0" collapsed="false">
      <c r="B143" s="10" t="s">
        <v>78</v>
      </c>
      <c r="F143" s="70" t="n">
        <f aca="false">F85</f>
        <v>3495</v>
      </c>
      <c r="G143" s="70" t="n">
        <f aca="false">G85</f>
        <v>6119</v>
      </c>
      <c r="H143" s="70" t="n">
        <f aca="false">H85</f>
        <v>8235</v>
      </c>
      <c r="I143" s="123" t="n">
        <f aca="false">I85</f>
        <v>10509.9775464124</v>
      </c>
      <c r="J143" s="70" t="n">
        <f aca="false">J85</f>
        <v>12327.2795525087</v>
      </c>
      <c r="K143" s="70" t="n">
        <f aca="false">K85</f>
        <v>14268.4384166766</v>
      </c>
      <c r="L143" s="70" t="n">
        <f aca="false">L85</f>
        <v>15715.2746547806</v>
      </c>
      <c r="M143" s="70" t="n">
        <f aca="false">M85</f>
        <v>17745.5183250203</v>
      </c>
      <c r="N143" s="7"/>
    </row>
    <row r="144" customFormat="false" ht="15" hidden="false" customHeight="false" outlineLevel="0" collapsed="false">
      <c r="B144" s="85" t="s">
        <v>70</v>
      </c>
      <c r="C144" s="8"/>
      <c r="D144" s="8"/>
      <c r="E144" s="102"/>
      <c r="F144" s="20" t="n">
        <f aca="false">F74</f>
        <v>327</v>
      </c>
      <c r="G144" s="20" t="n">
        <f aca="false">G74</f>
        <v>496</v>
      </c>
      <c r="H144" s="20" t="n">
        <f aca="false">H74</f>
        <v>734</v>
      </c>
      <c r="I144" s="124" t="n">
        <f aca="false">I74</f>
        <v>917.5</v>
      </c>
      <c r="J144" s="20" t="n">
        <f aca="false">J74</f>
        <v>1073.475</v>
      </c>
      <c r="K144" s="20" t="n">
        <f aca="false">K74</f>
        <v>1191.55725</v>
      </c>
      <c r="L144" s="20" t="n">
        <f aca="false">L74</f>
        <v>1298.7974025</v>
      </c>
      <c r="M144" s="20" t="n">
        <f aca="false">M74</f>
        <v>1389.713220675</v>
      </c>
      <c r="N144" s="7"/>
    </row>
    <row r="145" customFormat="false" ht="15" hidden="false" customHeight="false" outlineLevel="0" collapsed="false">
      <c r="B145" s="85" t="s">
        <v>55</v>
      </c>
      <c r="C145" s="8"/>
      <c r="D145" s="8"/>
      <c r="E145" s="102"/>
      <c r="F145" s="20" t="n">
        <f aca="false">F53</f>
        <v>0</v>
      </c>
      <c r="G145" s="20" t="n">
        <f aca="false">G53</f>
        <v>0</v>
      </c>
      <c r="H145" s="20" t="n">
        <f aca="false">H53</f>
        <v>0</v>
      </c>
      <c r="I145" s="124" t="n">
        <f aca="false">I75</f>
        <v>40</v>
      </c>
      <c r="J145" s="20" t="n">
        <f aca="false">J75</f>
        <v>37</v>
      </c>
      <c r="K145" s="20" t="n">
        <f aca="false">K75</f>
        <v>28</v>
      </c>
      <c r="L145" s="20" t="n">
        <f aca="false">L75</f>
        <v>13</v>
      </c>
      <c r="M145" s="20" t="n">
        <f aca="false">M75</f>
        <v>10</v>
      </c>
      <c r="N145" s="7"/>
    </row>
    <row r="146" customFormat="false" ht="15" hidden="false" customHeight="false" outlineLevel="0" collapsed="false">
      <c r="B146" s="85" t="s">
        <v>71</v>
      </c>
      <c r="C146" s="8"/>
      <c r="D146" s="8"/>
      <c r="E146" s="75"/>
      <c r="F146" s="20" t="n">
        <f aca="false">F76</f>
        <v>242</v>
      </c>
      <c r="G146" s="20" t="n">
        <f aca="false">G76</f>
        <v>516</v>
      </c>
      <c r="H146" s="20" t="n">
        <f aca="false">H76</f>
        <v>710</v>
      </c>
      <c r="I146" s="124" t="n">
        <f aca="false">I76</f>
        <v>887.5</v>
      </c>
      <c r="J146" s="20" t="n">
        <f aca="false">J76</f>
        <v>1038.375</v>
      </c>
      <c r="K146" s="20" t="n">
        <f aca="false">K76</f>
        <v>1152.59625</v>
      </c>
      <c r="L146" s="20" t="n">
        <f aca="false">L76</f>
        <v>1256.3299125</v>
      </c>
      <c r="M146" s="20" t="n">
        <f aca="false">M76</f>
        <v>1344.273006375</v>
      </c>
      <c r="N146" s="7"/>
    </row>
    <row r="147" customFormat="false" ht="15" hidden="false" customHeight="false" outlineLevel="0" collapsed="false">
      <c r="B147" s="7" t="s">
        <v>122</v>
      </c>
      <c r="C147" s="8"/>
      <c r="D147" s="8"/>
      <c r="E147" s="8"/>
      <c r="F147" s="30" t="n">
        <v>73</v>
      </c>
      <c r="G147" s="30" t="n">
        <v>398</v>
      </c>
      <c r="H147" s="15" t="n">
        <v>1040</v>
      </c>
      <c r="I147" s="125" t="n">
        <v>0</v>
      </c>
      <c r="J147" s="29" t="n">
        <f aca="false">I147</f>
        <v>0</v>
      </c>
      <c r="K147" s="29" t="n">
        <f aca="false">J147</f>
        <v>0</v>
      </c>
      <c r="L147" s="29" t="n">
        <f aca="false">K147</f>
        <v>0</v>
      </c>
      <c r="M147" s="126" t="n">
        <f aca="false">L147</f>
        <v>0</v>
      </c>
    </row>
    <row r="148" customFormat="false" ht="15" hidden="false" customHeight="false" outlineLevel="0" collapsed="false">
      <c r="B148" s="85" t="s">
        <v>123</v>
      </c>
      <c r="C148" s="8"/>
      <c r="D148" s="8"/>
      <c r="E148" s="102"/>
      <c r="F148" s="30" t="n">
        <v>12</v>
      </c>
      <c r="G148" s="30" t="n">
        <v>22</v>
      </c>
      <c r="H148" s="15" t="n">
        <v>26</v>
      </c>
      <c r="I148" s="125" t="n">
        <v>0</v>
      </c>
      <c r="J148" s="29" t="n">
        <f aca="false">I148</f>
        <v>0</v>
      </c>
      <c r="K148" s="29" t="n">
        <f aca="false">J148</f>
        <v>0</v>
      </c>
      <c r="L148" s="29" t="n">
        <f aca="false">K148</f>
        <v>0</v>
      </c>
      <c r="M148" s="126" t="n">
        <f aca="false">L148</f>
        <v>0</v>
      </c>
    </row>
    <row r="149" customFormat="false" ht="15" hidden="false" customHeight="false" outlineLevel="0" collapsed="false">
      <c r="B149" s="80" t="s">
        <v>124</v>
      </c>
      <c r="C149" s="8"/>
      <c r="D149" s="8"/>
      <c r="E149" s="102"/>
      <c r="F149" s="8"/>
      <c r="G149" s="8"/>
      <c r="H149" s="9"/>
      <c r="M149" s="9"/>
    </row>
    <row r="150" customFormat="false" ht="15" hidden="false" customHeight="false" outlineLevel="0" collapsed="false">
      <c r="B150" s="26" t="s">
        <v>89</v>
      </c>
      <c r="C150" s="8"/>
      <c r="D150" s="8"/>
      <c r="E150" s="75"/>
      <c r="F150" s="30" t="n">
        <v>-385</v>
      </c>
      <c r="G150" s="30" t="n">
        <v>-785</v>
      </c>
      <c r="H150" s="84" t="n">
        <f aca="false">G101-H101</f>
        <v>-939</v>
      </c>
      <c r="I150" s="127" t="n">
        <f aca="false">H101-I101</f>
        <v>-840.25</v>
      </c>
      <c r="J150" s="83" t="n">
        <f aca="false">I101-J101</f>
        <v>-714.2125</v>
      </c>
      <c r="K150" s="83" t="n">
        <f aca="false">J101-K101</f>
        <v>-540.700875000001</v>
      </c>
      <c r="L150" s="83" t="n">
        <f aca="false">K101-L101</f>
        <v>-491.05470375</v>
      </c>
      <c r="M150" s="84" t="n">
        <f aca="false">L101-M101</f>
        <v>-416.3052655125</v>
      </c>
    </row>
    <row r="151" customFormat="false" ht="15" hidden="false" customHeight="false" outlineLevel="0" collapsed="false">
      <c r="B151" s="26" t="s">
        <v>90</v>
      </c>
      <c r="C151" s="8"/>
      <c r="D151" s="8"/>
      <c r="E151" s="81"/>
      <c r="F151" s="30" t="n">
        <v>-76</v>
      </c>
      <c r="G151" s="30" t="n">
        <v>-163</v>
      </c>
      <c r="H151" s="126" t="n">
        <f aca="false">G102-H102</f>
        <v>54</v>
      </c>
      <c r="I151" s="128" t="n">
        <f aca="false">H102-I102</f>
        <v>-113.75</v>
      </c>
      <c r="J151" s="27" t="n">
        <f aca="false">I102-J102</f>
        <v>-96.6874999999999</v>
      </c>
      <c r="K151" s="27" t="n">
        <f aca="false">J102-K102</f>
        <v>-73.198125</v>
      </c>
      <c r="L151" s="27" t="n">
        <f aca="false">K102-L102</f>
        <v>-66.4772062500001</v>
      </c>
      <c r="M151" s="126" t="n">
        <f aca="false">L102-M102</f>
        <v>-56.3578981874999</v>
      </c>
    </row>
    <row r="152" customFormat="false" ht="15" hidden="false" customHeight="false" outlineLevel="0" collapsed="false">
      <c r="B152" s="26" t="s">
        <v>92</v>
      </c>
      <c r="C152" s="8"/>
      <c r="D152" s="8"/>
      <c r="E152" s="75"/>
      <c r="F152" s="30" t="n">
        <v>-1279</v>
      </c>
      <c r="G152" s="30" t="n">
        <v>-274</v>
      </c>
      <c r="H152" s="126" t="n">
        <f aca="false">G104-H104</f>
        <v>780</v>
      </c>
      <c r="I152" s="128" t="n">
        <f aca="false">H104-I104</f>
        <v>0</v>
      </c>
      <c r="J152" s="27" t="n">
        <f aca="false">I104-J104</f>
        <v>0</v>
      </c>
      <c r="K152" s="27" t="n">
        <f aca="false">J104-K104</f>
        <v>0</v>
      </c>
      <c r="L152" s="27" t="n">
        <f aca="false">K104-L104</f>
        <v>0</v>
      </c>
      <c r="M152" s="126" t="n">
        <f aca="false">L104-M104</f>
        <v>0</v>
      </c>
    </row>
    <row r="153" customFormat="false" ht="15" hidden="false" customHeight="false" outlineLevel="0" collapsed="false">
      <c r="B153" s="112" t="s">
        <v>99</v>
      </c>
      <c r="C153" s="8"/>
      <c r="D153" s="8"/>
      <c r="E153" s="102"/>
      <c r="F153" s="30" t="n">
        <v>285</v>
      </c>
      <c r="G153" s="30" t="n">
        <v>289</v>
      </c>
      <c r="H153" s="126" t="n">
        <f aca="false">G112-H112</f>
        <v>-1172</v>
      </c>
      <c r="I153" s="128" t="n">
        <f aca="false">H112-I112</f>
        <v>0</v>
      </c>
      <c r="J153" s="27" t="n">
        <f aca="false">I112-J112</f>
        <v>0</v>
      </c>
      <c r="K153" s="27" t="n">
        <f aca="false">J112-K112</f>
        <v>0</v>
      </c>
      <c r="L153" s="27" t="n">
        <f aca="false">K112-L112</f>
        <v>0</v>
      </c>
      <c r="M153" s="126" t="n">
        <f aca="false">L112-M112</f>
        <v>0</v>
      </c>
    </row>
    <row r="154" customFormat="false" ht="15" hidden="false" customHeight="false" outlineLevel="0" collapsed="false">
      <c r="B154" s="26" t="s">
        <v>103</v>
      </c>
      <c r="C154" s="8"/>
      <c r="D154" s="8"/>
      <c r="E154" s="75"/>
      <c r="F154" s="30" t="n">
        <v>1494</v>
      </c>
      <c r="G154" s="30" t="n">
        <v>596</v>
      </c>
      <c r="H154" s="126" t="n">
        <f aca="false">H117-G117</f>
        <v>81</v>
      </c>
      <c r="I154" s="128" t="n">
        <f aca="false">I117-H117</f>
        <v>1400.25</v>
      </c>
      <c r="J154" s="27" t="n">
        <f aca="false">J117-I117</f>
        <v>1190.2125</v>
      </c>
      <c r="K154" s="27" t="n">
        <f aca="false">K117-J117</f>
        <v>901.060875</v>
      </c>
      <c r="L154" s="27" t="n">
        <f aca="false">L117-K117</f>
        <v>818.327103750002</v>
      </c>
      <c r="M154" s="126" t="n">
        <f aca="false">M117-L117</f>
        <v>693.759533512499</v>
      </c>
    </row>
    <row r="155" customFormat="false" ht="15" hidden="false" customHeight="false" outlineLevel="0" collapsed="false">
      <c r="B155" s="26" t="s">
        <v>105</v>
      </c>
      <c r="C155" s="8"/>
      <c r="D155" s="8"/>
      <c r="E155" s="102"/>
      <c r="F155" s="30" t="n">
        <v>566</v>
      </c>
      <c r="G155" s="30" t="n">
        <v>718</v>
      </c>
      <c r="H155" s="126" t="n">
        <f aca="false">H119-G119+H123-G123</f>
        <v>521</v>
      </c>
      <c r="I155" s="128" t="n">
        <f aca="false">I119-H119+I123-H123</f>
        <v>726.5</v>
      </c>
      <c r="J155" s="27" t="n">
        <f aca="false">J119-I119+J123-I123</f>
        <v>617.525</v>
      </c>
      <c r="K155" s="27" t="n">
        <f aca="false">K119-J119+K123-J123</f>
        <v>467.50275</v>
      </c>
      <c r="L155" s="27" t="n">
        <f aca="false">L119-K119+L123-K123</f>
        <v>424.5774975</v>
      </c>
      <c r="M155" s="126" t="n">
        <f aca="false">M119-L119+M123-L123</f>
        <v>359.947367325</v>
      </c>
    </row>
    <row r="156" customFormat="false" ht="15" hidden="false" customHeight="false" outlineLevel="0" collapsed="false">
      <c r="B156" s="26" t="s">
        <v>125</v>
      </c>
      <c r="C156" s="8"/>
      <c r="D156" s="8"/>
      <c r="E156" s="8"/>
      <c r="F156" s="30" t="n">
        <v>716</v>
      </c>
      <c r="G156" s="30" t="n">
        <v>1664</v>
      </c>
      <c r="H156" s="126" t="n">
        <f aca="false">H118-G118+H125-G125</f>
        <v>1385</v>
      </c>
      <c r="I156" s="128" t="n">
        <f aca="false">I118-H118+I125-H125</f>
        <v>963</v>
      </c>
      <c r="J156" s="27" t="n">
        <f aca="false">J118-I118+J125-I125</f>
        <v>818.55</v>
      </c>
      <c r="K156" s="27" t="n">
        <f aca="false">K118-J118+K125-J125</f>
        <v>619.690500000001</v>
      </c>
      <c r="L156" s="27" t="n">
        <f aca="false">L118-K118+L125-K125</f>
        <v>562.791645</v>
      </c>
      <c r="M156" s="126" t="n">
        <f aca="false">M118-L118+M125-L125</f>
        <v>477.122250149999</v>
      </c>
    </row>
    <row r="157" customFormat="false" ht="15" hidden="false" customHeight="false" outlineLevel="0" collapsed="false">
      <c r="B157" s="78" t="s">
        <v>126</v>
      </c>
      <c r="C157" s="34"/>
      <c r="D157" s="34"/>
      <c r="E157" s="32"/>
      <c r="F157" s="32" t="n">
        <f aca="false">SUM(F150:F156)+SUM(F143:F148)</f>
        <v>5470</v>
      </c>
      <c r="G157" s="32" t="n">
        <f aca="false">SUM(G150:G156)+SUM(G143:G148)</f>
        <v>9596</v>
      </c>
      <c r="H157" s="79" t="n">
        <f aca="false">SUM(H150:H156)+SUM(H143:H148)</f>
        <v>11455</v>
      </c>
      <c r="I157" s="129" t="n">
        <f aca="false">SUM(I150:I156)+SUM(I143:I148)</f>
        <v>14490.7275464124</v>
      </c>
      <c r="J157" s="32" t="n">
        <f aca="false">SUM(J150:J156)+SUM(J143:J148)</f>
        <v>16291.5170525087</v>
      </c>
      <c r="K157" s="32" t="n">
        <f aca="false">SUM(K150:K156)+SUM(K143:K148)</f>
        <v>18014.9470416766</v>
      </c>
      <c r="L157" s="32" t="n">
        <f aca="false">SUM(L150:L156)+SUM(L143:L148)</f>
        <v>19531.5663060306</v>
      </c>
      <c r="M157" s="79" t="n">
        <f aca="false">SUM(M150:M156)+SUM(M143:M148)</f>
        <v>21547.6705393578</v>
      </c>
    </row>
    <row r="158" customFormat="false" ht="15" hidden="false" customHeight="false" outlineLevel="0" collapsed="false">
      <c r="B158" s="26"/>
      <c r="C158" s="8"/>
      <c r="D158" s="8"/>
      <c r="E158" s="8"/>
      <c r="H158" s="9"/>
      <c r="I158" s="29"/>
      <c r="M158" s="9"/>
    </row>
    <row r="159" customFormat="false" ht="15" hidden="false" customHeight="false" outlineLevel="0" collapsed="false">
      <c r="B159" s="96" t="s">
        <v>127</v>
      </c>
      <c r="C159" s="96"/>
      <c r="D159" s="96"/>
      <c r="E159" s="96"/>
      <c r="H159" s="130"/>
      <c r="M159" s="9"/>
    </row>
    <row r="160" customFormat="false" ht="15" hidden="false" customHeight="false" outlineLevel="0" collapsed="false">
      <c r="B160" s="85" t="s">
        <v>128</v>
      </c>
      <c r="C160" s="88"/>
      <c r="D160" s="88"/>
      <c r="E160" s="131"/>
      <c r="F160" s="30" t="n">
        <v>-11719</v>
      </c>
      <c r="G160" s="30" t="n">
        <v>-22965</v>
      </c>
      <c r="H160" s="15" t="n">
        <v>-46724</v>
      </c>
      <c r="I160" s="125" t="n">
        <v>0</v>
      </c>
      <c r="J160" s="29" t="n">
        <f aca="false">I160</f>
        <v>0</v>
      </c>
      <c r="K160" s="29" t="n">
        <f aca="false">J160</f>
        <v>0</v>
      </c>
      <c r="L160" s="29" t="n">
        <f aca="false">K160</f>
        <v>0</v>
      </c>
      <c r="M160" s="126" t="n">
        <f aca="false">L160</f>
        <v>0</v>
      </c>
    </row>
    <row r="161" customFormat="false" ht="15" hidden="false" customHeight="false" outlineLevel="0" collapsed="false">
      <c r="B161" s="85" t="s">
        <v>129</v>
      </c>
      <c r="C161" s="8"/>
      <c r="D161" s="8"/>
      <c r="E161" s="8"/>
      <c r="F161" s="27" t="n">
        <f aca="false">6483+2941</f>
        <v>9424</v>
      </c>
      <c r="G161" s="27" t="n">
        <f aca="false">11804+4439</f>
        <v>16243</v>
      </c>
      <c r="H161" s="126" t="n">
        <f aca="false">19790+10888</f>
        <v>30678</v>
      </c>
      <c r="I161" s="125" t="n">
        <v>0</v>
      </c>
      <c r="J161" s="29" t="n">
        <f aca="false">I161</f>
        <v>0</v>
      </c>
      <c r="K161" s="29" t="n">
        <f aca="false">J161</f>
        <v>0</v>
      </c>
      <c r="L161" s="29" t="n">
        <f aca="false">K161</f>
        <v>0</v>
      </c>
      <c r="M161" s="126" t="n">
        <f aca="false">L161</f>
        <v>0</v>
      </c>
    </row>
    <row r="162" customFormat="false" ht="15" hidden="false" customHeight="false" outlineLevel="0" collapsed="false">
      <c r="B162" s="85" t="s">
        <v>130</v>
      </c>
      <c r="C162" s="8"/>
      <c r="D162" s="8"/>
      <c r="E162" s="8"/>
      <c r="F162" s="30" t="n">
        <v>-17</v>
      </c>
      <c r="G162" s="30" t="n">
        <v>-38</v>
      </c>
      <c r="H162" s="15" t="n">
        <v>-101</v>
      </c>
      <c r="I162" s="125" t="n">
        <v>0</v>
      </c>
      <c r="J162" s="29" t="n">
        <f aca="false">I162</f>
        <v>0</v>
      </c>
      <c r="K162" s="29" t="n">
        <f aca="false">J162</f>
        <v>0</v>
      </c>
      <c r="L162" s="29" t="n">
        <f aca="false">K162</f>
        <v>0</v>
      </c>
      <c r="M162" s="126" t="n">
        <f aca="false">L162</f>
        <v>0</v>
      </c>
    </row>
    <row r="163" customFormat="false" ht="15" hidden="false" customHeight="false" outlineLevel="0" collapsed="false">
      <c r="B163" s="85" t="s">
        <v>131</v>
      </c>
      <c r="C163" s="8"/>
      <c r="D163" s="8"/>
      <c r="E163" s="8"/>
      <c r="F163" s="30" t="n">
        <v>-735</v>
      </c>
      <c r="G163" s="30" t="n">
        <v>-1091</v>
      </c>
      <c r="H163" s="15" t="n">
        <v>-1144</v>
      </c>
      <c r="I163" s="128" t="n">
        <f aca="false">-I61*I66</f>
        <v>-1430</v>
      </c>
      <c r="J163" s="27" t="n">
        <f aca="false">-J61*J66</f>
        <v>-1673.1</v>
      </c>
      <c r="K163" s="27" t="n">
        <f aca="false">-K61*K66</f>
        <v>-1857.141</v>
      </c>
      <c r="L163" s="27" t="n">
        <f aca="false">-L61*L66</f>
        <v>-2024.28369</v>
      </c>
      <c r="M163" s="126" t="n">
        <f aca="false">-M61*M66</f>
        <v>-2165.9835483</v>
      </c>
    </row>
    <row r="164" customFormat="false" ht="15" hidden="false" customHeight="false" outlineLevel="0" collapsed="false">
      <c r="B164" s="85" t="s">
        <v>132</v>
      </c>
      <c r="C164" s="8"/>
      <c r="D164" s="8"/>
      <c r="E164" s="8"/>
      <c r="F164" s="30" t="n">
        <v>-251</v>
      </c>
      <c r="G164" s="30" t="n">
        <v>-108</v>
      </c>
      <c r="H164" s="15" t="n">
        <v>-69</v>
      </c>
      <c r="I164" s="125" t="n">
        <v>0</v>
      </c>
      <c r="J164" s="29" t="n">
        <f aca="false">I164</f>
        <v>0</v>
      </c>
      <c r="K164" s="29" t="n">
        <f aca="false">J164</f>
        <v>0</v>
      </c>
      <c r="L164" s="29" t="n">
        <f aca="false">K164</f>
        <v>0</v>
      </c>
      <c r="M164" s="126" t="n">
        <f aca="false">L164</f>
        <v>0</v>
      </c>
    </row>
    <row r="165" customFormat="false" ht="15" hidden="false" customHeight="false" outlineLevel="0" collapsed="false">
      <c r="B165" s="85" t="s">
        <v>133</v>
      </c>
      <c r="C165" s="8"/>
      <c r="D165" s="8"/>
      <c r="E165" s="8"/>
      <c r="F165" s="30" t="n">
        <v>49</v>
      </c>
      <c r="G165" s="30" t="n">
        <f aca="false">-10-220</f>
        <v>-230</v>
      </c>
      <c r="H165" s="15" t="n">
        <v>-74</v>
      </c>
      <c r="I165" s="125" t="n">
        <v>0</v>
      </c>
      <c r="J165" s="29" t="n">
        <f aca="false">I165</f>
        <v>0</v>
      </c>
      <c r="K165" s="29" t="n">
        <f aca="false">J165</f>
        <v>0</v>
      </c>
      <c r="L165" s="29" t="n">
        <f aca="false">K165</f>
        <v>0</v>
      </c>
      <c r="M165" s="126" t="n">
        <f aca="false">L165</f>
        <v>0</v>
      </c>
    </row>
    <row r="166" customFormat="false" ht="15" hidden="false" customHeight="false" outlineLevel="0" collapsed="false">
      <c r="B166" s="78" t="s">
        <v>134</v>
      </c>
      <c r="C166" s="34"/>
      <c r="D166" s="34"/>
      <c r="E166" s="32"/>
      <c r="F166" s="32" t="n">
        <f aca="false">SUM(F160:F165)</f>
        <v>-3249</v>
      </c>
      <c r="G166" s="32" t="n">
        <f aca="false">SUM(G160:G165)</f>
        <v>-8189</v>
      </c>
      <c r="H166" s="79" t="n">
        <f aca="false">SUM(H160:H165)</f>
        <v>-17434</v>
      </c>
      <c r="I166" s="32" t="n">
        <f aca="false">SUM(I160:I165)</f>
        <v>-1430</v>
      </c>
      <c r="J166" s="32" t="n">
        <f aca="false">SUM(J160:J165)</f>
        <v>-1673.1</v>
      </c>
      <c r="K166" s="32" t="n">
        <f aca="false">SUM(K160:K165)</f>
        <v>-1857.141</v>
      </c>
      <c r="L166" s="32" t="n">
        <f aca="false">SUM(L160:L165)</f>
        <v>-2024.28369</v>
      </c>
      <c r="M166" s="79" t="n">
        <f aca="false">SUM(M160:M165)</f>
        <v>-2165.9835483</v>
      </c>
    </row>
    <row r="167" customFormat="false" ht="15" hidden="false" customHeight="false" outlineLevel="0" collapsed="false">
      <c r="B167" s="85"/>
      <c r="C167" s="8"/>
      <c r="D167" s="8"/>
      <c r="E167" s="8"/>
      <c r="H167" s="9"/>
      <c r="I167" s="29"/>
      <c r="M167" s="9"/>
    </row>
    <row r="168" customFormat="false" ht="15" hidden="false" customHeight="false" outlineLevel="0" collapsed="false">
      <c r="B168" s="96" t="s">
        <v>135</v>
      </c>
      <c r="C168" s="96"/>
      <c r="D168" s="96"/>
      <c r="E168" s="96"/>
      <c r="H168" s="130"/>
      <c r="M168" s="9"/>
    </row>
    <row r="169" customFormat="false" ht="15" hidden="false" customHeight="false" outlineLevel="0" collapsed="false">
      <c r="B169" s="7" t="s">
        <v>136</v>
      </c>
      <c r="C169" s="8"/>
      <c r="D169" s="8"/>
      <c r="E169" s="8"/>
      <c r="F169" s="30" t="n">
        <v>365</v>
      </c>
      <c r="G169" s="30" t="n">
        <v>483</v>
      </c>
      <c r="H169" s="15" t="n">
        <v>475</v>
      </c>
      <c r="I169" s="125" t="n">
        <v>0</v>
      </c>
      <c r="J169" s="29" t="n">
        <f aca="false">I169</f>
        <v>0</v>
      </c>
      <c r="K169" s="29" t="n">
        <f aca="false">J169</f>
        <v>0</v>
      </c>
      <c r="L169" s="29" t="n">
        <f aca="false">K169</f>
        <v>0</v>
      </c>
      <c r="M169" s="126" t="n">
        <f aca="false">L169</f>
        <v>0</v>
      </c>
    </row>
    <row r="170" customFormat="false" ht="15" hidden="false" customHeight="false" outlineLevel="0" collapsed="false">
      <c r="B170" s="7" t="s">
        <v>137</v>
      </c>
      <c r="C170" s="8"/>
      <c r="D170" s="8"/>
      <c r="E170" s="8"/>
      <c r="F170" s="30" t="n">
        <v>0</v>
      </c>
      <c r="G170" s="30" t="n">
        <v>0</v>
      </c>
      <c r="H170" s="15" t="n">
        <v>0</v>
      </c>
      <c r="I170" s="125" t="n">
        <v>0</v>
      </c>
      <c r="J170" s="29" t="n">
        <f aca="false">I170</f>
        <v>0</v>
      </c>
      <c r="K170" s="29" t="n">
        <f aca="false">J170</f>
        <v>0</v>
      </c>
      <c r="L170" s="29" t="n">
        <f aca="false">K170</f>
        <v>0</v>
      </c>
      <c r="M170" s="126" t="n">
        <f aca="false">L170</f>
        <v>0</v>
      </c>
    </row>
    <row r="171" customFormat="false" ht="15" hidden="false" customHeight="false" outlineLevel="0" collapsed="false">
      <c r="B171" s="7" t="s">
        <v>138</v>
      </c>
      <c r="C171" s="8"/>
      <c r="D171" s="8"/>
      <c r="E171" s="8"/>
      <c r="F171" s="30" t="n">
        <v>0</v>
      </c>
      <c r="G171" s="30" t="n">
        <v>0</v>
      </c>
      <c r="H171" s="15" t="n">
        <v>0</v>
      </c>
      <c r="I171" s="125" t="n">
        <v>0</v>
      </c>
      <c r="J171" s="29" t="n">
        <f aca="false">I171</f>
        <v>0</v>
      </c>
      <c r="K171" s="29" t="n">
        <f aca="false">J171</f>
        <v>0</v>
      </c>
      <c r="L171" s="29" t="n">
        <f aca="false">K171</f>
        <v>0</v>
      </c>
      <c r="M171" s="126" t="n">
        <f aca="false">L171</f>
        <v>0</v>
      </c>
    </row>
    <row r="172" customFormat="false" ht="15" hidden="false" customHeight="false" outlineLevel="0" collapsed="false">
      <c r="B172" s="7" t="s">
        <v>139</v>
      </c>
      <c r="C172" s="8"/>
      <c r="D172" s="8"/>
      <c r="E172" s="8"/>
      <c r="F172" s="30" t="n">
        <v>377</v>
      </c>
      <c r="G172" s="30" t="n">
        <v>757</v>
      </c>
      <c r="H172" s="15" t="n">
        <v>270</v>
      </c>
      <c r="I172" s="125" t="n">
        <v>0</v>
      </c>
      <c r="J172" s="29" t="n">
        <f aca="false">I172</f>
        <v>0</v>
      </c>
      <c r="K172" s="29" t="n">
        <f aca="false">J172</f>
        <v>0</v>
      </c>
      <c r="L172" s="29" t="n">
        <f aca="false">K172</f>
        <v>0</v>
      </c>
      <c r="M172" s="126" t="n">
        <f aca="false">L172</f>
        <v>0</v>
      </c>
    </row>
    <row r="173" customFormat="false" ht="15" hidden="false" customHeight="false" outlineLevel="0" collapsed="false">
      <c r="B173" s="7" t="s">
        <v>140</v>
      </c>
      <c r="C173" s="8"/>
      <c r="D173" s="8"/>
      <c r="E173" s="8"/>
      <c r="F173" s="30" t="n">
        <v>0</v>
      </c>
      <c r="G173" s="30" t="n">
        <v>0</v>
      </c>
      <c r="H173" s="15" t="n">
        <v>0</v>
      </c>
      <c r="I173" s="29" t="n">
        <f aca="false">IF(I23=Debt_Date,Debt_Amount,0)</f>
        <v>1000</v>
      </c>
      <c r="J173" s="29" t="n">
        <f aca="false">IF(J23=Debt_Date,Debt_Amount,0)</f>
        <v>0</v>
      </c>
      <c r="K173" s="29" t="n">
        <f aca="false">IF(K23=Debt_Date,Debt_Amount,0)</f>
        <v>0</v>
      </c>
      <c r="L173" s="29" t="n">
        <f aca="false">IF(L23=Debt_Date,Debt_Amount,0)</f>
        <v>0</v>
      </c>
      <c r="M173" s="126" t="n">
        <f aca="false">IF(M23=Debt_Date,Debt_Amount,0)</f>
        <v>0</v>
      </c>
    </row>
    <row r="174" customFormat="false" ht="15" hidden="false" customHeight="false" outlineLevel="0" collapsed="false">
      <c r="B174" s="7" t="s">
        <v>141</v>
      </c>
      <c r="C174" s="8"/>
      <c r="D174" s="8"/>
      <c r="E174" s="8"/>
      <c r="F174" s="30" t="n">
        <v>-3</v>
      </c>
      <c r="G174" s="30" t="n">
        <v>-124</v>
      </c>
      <c r="H174" s="15" t="n">
        <v>-82</v>
      </c>
      <c r="I174" s="125" t="n">
        <v>0</v>
      </c>
      <c r="J174" s="29" t="n">
        <f aca="false">I174</f>
        <v>0</v>
      </c>
      <c r="K174" s="29" t="n">
        <f aca="false">J174</f>
        <v>0</v>
      </c>
      <c r="L174" s="29" t="n">
        <f aca="false">K174</f>
        <v>0</v>
      </c>
      <c r="M174" s="126" t="n">
        <f aca="false">L174</f>
        <v>0</v>
      </c>
    </row>
    <row r="175" customFormat="false" ht="15" hidden="false" customHeight="false" outlineLevel="0" collapsed="false">
      <c r="B175" s="78" t="s">
        <v>142</v>
      </c>
      <c r="C175" s="34"/>
      <c r="D175" s="34"/>
      <c r="E175" s="32"/>
      <c r="F175" s="32" t="n">
        <f aca="false">SUM(F169:F174)</f>
        <v>739</v>
      </c>
      <c r="G175" s="32" t="n">
        <f aca="false">SUM(G169:G174)</f>
        <v>1116</v>
      </c>
      <c r="H175" s="79" t="n">
        <f aca="false">SUM(H169:H174)</f>
        <v>663</v>
      </c>
      <c r="I175" s="32" t="n">
        <f aca="false">SUM(I169:I174)</f>
        <v>1000</v>
      </c>
      <c r="J175" s="32" t="n">
        <f aca="false">SUM(J169:J174)</f>
        <v>0</v>
      </c>
      <c r="K175" s="32" t="n">
        <f aca="false">SUM(K169:K174)</f>
        <v>0</v>
      </c>
      <c r="L175" s="32" t="n">
        <f aca="false">SUM(L169:L174)</f>
        <v>0</v>
      </c>
      <c r="M175" s="79" t="n">
        <f aca="false">SUM(M169:M174)</f>
        <v>0</v>
      </c>
    </row>
    <row r="176" customFormat="false" ht="15" hidden="false" customHeight="false" outlineLevel="0" collapsed="false">
      <c r="B176" s="7"/>
      <c r="C176" s="8"/>
      <c r="D176" s="8"/>
      <c r="E176" s="8"/>
      <c r="F176" s="8"/>
      <c r="G176" s="8"/>
      <c r="H176" s="9"/>
      <c r="M176" s="9"/>
    </row>
    <row r="177" customFormat="false" ht="15" hidden="false" customHeight="false" outlineLevel="0" collapsed="false">
      <c r="B177" s="10" t="s">
        <v>143</v>
      </c>
      <c r="C177" s="8"/>
      <c r="D177" s="8"/>
      <c r="E177" s="8"/>
      <c r="F177" s="75" t="n">
        <f aca="false">F175+F166+F157</f>
        <v>2960</v>
      </c>
      <c r="G177" s="75" t="n">
        <f aca="false">G175+G166+G157</f>
        <v>2523</v>
      </c>
      <c r="H177" s="76" t="n">
        <f aca="false">H175+H166+H157</f>
        <v>-5316</v>
      </c>
      <c r="I177" s="75" t="n">
        <f aca="false">I175+I166+I157</f>
        <v>14060.7275464124</v>
      </c>
      <c r="J177" s="75" t="n">
        <f aca="false">J175+J166+J157</f>
        <v>14618.4170525087</v>
      </c>
      <c r="K177" s="75" t="n">
        <f aca="false">K175+K166+K157</f>
        <v>16157.8060416766</v>
      </c>
      <c r="L177" s="75" t="n">
        <f aca="false">L175+L166+L157</f>
        <v>17507.2826160306</v>
      </c>
      <c r="M177" s="76" t="n">
        <f aca="false">M175+M166+M157</f>
        <v>19381.6869910578</v>
      </c>
    </row>
    <row r="178" customFormat="false" ht="15" hidden="false" customHeight="false" outlineLevel="0" collapsed="false">
      <c r="B178" s="44" t="s">
        <v>144</v>
      </c>
      <c r="C178" s="45"/>
      <c r="D178" s="45"/>
      <c r="E178" s="45"/>
      <c r="F178" s="132" t="n">
        <v>9352</v>
      </c>
      <c r="G178" s="133" t="n">
        <f aca="false">F178+G177</f>
        <v>11875</v>
      </c>
      <c r="H178" s="134" t="n">
        <f aca="false">G99+H177</f>
        <v>6559</v>
      </c>
      <c r="I178" s="133" t="n">
        <f aca="false">H99+I177</f>
        <v>20619.7275464124</v>
      </c>
      <c r="J178" s="133" t="n">
        <f aca="false">I99+J177</f>
        <v>35238.1445989211</v>
      </c>
      <c r="K178" s="133" t="n">
        <f aca="false">J99+K177</f>
        <v>51395.9506405978</v>
      </c>
      <c r="L178" s="133" t="n">
        <f aca="false">K99+L177</f>
        <v>68903.2332566283</v>
      </c>
      <c r="M178" s="134" t="n">
        <f aca="false">L99+M177</f>
        <v>88284.9202476861</v>
      </c>
    </row>
  </sheetData>
  <mergeCells count="9">
    <mergeCell ref="F22:H22"/>
    <mergeCell ref="I22:M22"/>
    <mergeCell ref="F36:H36"/>
    <mergeCell ref="I36:M36"/>
    <mergeCell ref="B97:D97"/>
    <mergeCell ref="B115:E115"/>
    <mergeCell ref="B142:E142"/>
    <mergeCell ref="B159:E159"/>
    <mergeCell ref="B168:E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42.56"/>
    <col collapsed="false" customWidth="true" hidden="false" outlineLevel="0" max="13" min="3" style="0" width="10.71"/>
    <col collapsed="false" customWidth="true" hidden="false" outlineLevel="0" max="15" min="15" style="0" width="10.85"/>
  </cols>
  <sheetData>
    <row r="2" customFormat="false" ht="15" hidden="false" customHeight="false" outlineLevel="0" collapsed="false">
      <c r="B2" s="1" t="str">
        <f aca="false">"Valuation Summary - "&amp;TEXT(Company_Name,"")</f>
        <v>Valuation Summary - Apple Inc.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B5" s="135" t="str">
        <f aca="false">"Valuation Statistics - "&amp;TEXT(Company_Name,"")</f>
        <v>Valuation Statistics - Apple Inc.</v>
      </c>
      <c r="C5" s="136" t="str">
        <f aca="false">TEXT(Company_Name,"")&amp;" - Range of Valuation Multiples / Premiums"</f>
        <v>Apple Inc. - Range of Valuation Multiples / Premiums</v>
      </c>
      <c r="D5" s="136"/>
      <c r="E5" s="136"/>
      <c r="F5" s="136"/>
      <c r="G5" s="136"/>
      <c r="H5" s="136"/>
      <c r="I5" s="137" t="str">
        <f aca="false">TEXT(Company_Name,"")&amp;" - Implied Per Share Value Range"</f>
        <v>Apple Inc. - Implied Per Share Value Range</v>
      </c>
      <c r="J5" s="137"/>
      <c r="K5" s="137"/>
      <c r="L5" s="137"/>
      <c r="M5" s="137"/>
    </row>
    <row r="6" customFormat="false" ht="15" hidden="false" customHeight="false" outlineLevel="0" collapsed="false">
      <c r="B6" s="138"/>
      <c r="C6" s="139"/>
      <c r="D6" s="140"/>
      <c r="E6" s="140"/>
      <c r="F6" s="141"/>
      <c r="G6" s="140"/>
      <c r="H6" s="140"/>
      <c r="I6" s="140"/>
      <c r="J6" s="140"/>
      <c r="K6" s="140"/>
      <c r="L6" s="140"/>
      <c r="M6" s="142"/>
    </row>
    <row r="7" customFormat="false" ht="15" hidden="false" customHeight="false" outlineLevel="0" collapsed="false">
      <c r="B7" s="138"/>
      <c r="C7" s="139"/>
      <c r="D7" s="139" t="s">
        <v>145</v>
      </c>
      <c r="E7" s="139"/>
      <c r="F7" s="139" t="s">
        <v>146</v>
      </c>
      <c r="G7" s="140"/>
      <c r="H7" s="139" t="s">
        <v>147</v>
      </c>
      <c r="I7" s="139"/>
      <c r="J7" s="139" t="s">
        <v>145</v>
      </c>
      <c r="K7" s="139"/>
      <c r="L7" s="139" t="s">
        <v>146</v>
      </c>
      <c r="M7" s="143"/>
    </row>
    <row r="8" customFormat="false" ht="15" hidden="false" customHeight="false" outlineLevel="0" collapsed="false">
      <c r="B8" s="138"/>
      <c r="C8" s="139" t="s">
        <v>148</v>
      </c>
      <c r="D8" s="139" t="s">
        <v>149</v>
      </c>
      <c r="E8" s="139" t="s">
        <v>150</v>
      </c>
      <c r="F8" s="139" t="s">
        <v>149</v>
      </c>
      <c r="G8" s="139" t="s">
        <v>151</v>
      </c>
      <c r="H8" s="139" t="str">
        <f aca="false">TEXT(Company_Name,"")</f>
        <v>Apple Inc.</v>
      </c>
      <c r="I8" s="139" t="s">
        <v>148</v>
      </c>
      <c r="J8" s="139" t="s">
        <v>149</v>
      </c>
      <c r="K8" s="139" t="s">
        <v>150</v>
      </c>
      <c r="L8" s="139" t="s">
        <v>149</v>
      </c>
      <c r="M8" s="143" t="s">
        <v>151</v>
      </c>
    </row>
    <row r="9" customFormat="false" ht="15" hidden="false" customHeight="false" outlineLevel="0" collapsed="false">
      <c r="B9" s="144" t="s">
        <v>152</v>
      </c>
      <c r="C9" s="145" t="s">
        <v>153</v>
      </c>
      <c r="D9" s="145" t="s">
        <v>153</v>
      </c>
      <c r="E9" s="145" t="s">
        <v>153</v>
      </c>
      <c r="F9" s="145" t="s">
        <v>153</v>
      </c>
      <c r="G9" s="145" t="s">
        <v>153</v>
      </c>
      <c r="H9" s="145" t="s">
        <v>154</v>
      </c>
      <c r="I9" s="145" t="s">
        <v>153</v>
      </c>
      <c r="J9" s="145" t="s">
        <v>153</v>
      </c>
      <c r="K9" s="145" t="s">
        <v>153</v>
      </c>
      <c r="L9" s="145" t="s">
        <v>153</v>
      </c>
      <c r="M9" s="146" t="s">
        <v>153</v>
      </c>
    </row>
    <row r="10" customFormat="false" ht="15" hidden="false" customHeight="false" outlineLevel="0" collapsed="false">
      <c r="B10" s="147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9"/>
    </row>
    <row r="11" customFormat="false" ht="15" hidden="false" customHeight="false" outlineLevel="0" collapsed="false">
      <c r="B11" s="150" t="s">
        <v>155</v>
      </c>
      <c r="C11" s="151"/>
      <c r="D11" s="152"/>
      <c r="E11" s="152"/>
      <c r="F11" s="152"/>
      <c r="G11" s="152"/>
      <c r="H11" s="152"/>
      <c r="I11" s="152"/>
      <c r="J11" s="152"/>
      <c r="K11" s="152"/>
      <c r="L11" s="152"/>
      <c r="M11" s="43"/>
    </row>
    <row r="12" customFormat="false" ht="15" hidden="false" customHeight="false" outlineLevel="0" collapsed="false">
      <c r="B12" s="147" t="str">
        <f aca="false">Hist_Year&amp;" EV / Revenue:"</f>
        <v>2009 EV / Revenue:</v>
      </c>
      <c r="C12" s="153" t="n">
        <f aca="false">'Public Comps'!$L$35</f>
        <v>0.293211491952168</v>
      </c>
      <c r="D12" s="153" t="n">
        <f aca="false">'Public Comps'!$L$34</f>
        <v>0.454678643554163</v>
      </c>
      <c r="E12" s="153" t="n">
        <f aca="false">'Public Comps'!$L$33</f>
        <v>1.08623295996805</v>
      </c>
      <c r="F12" s="153" t="n">
        <f aca="false">'Public Comps'!$L$32</f>
        <v>2.83023362005856</v>
      </c>
      <c r="G12" s="153" t="n">
        <f aca="false">'Public Comps'!$L$31</f>
        <v>3.06464333324015</v>
      </c>
      <c r="H12" s="154" t="n">
        <f aca="false">'AAPL-3-Statements'!H66</f>
        <v>42905</v>
      </c>
      <c r="I12" s="155" t="n">
        <f aca="false">(C12*$H12+$R$12)*Units/Diluted_Shares</f>
        <v>52.1172228460319</v>
      </c>
      <c r="J12" s="155" t="n">
        <f aca="false">(D12*$H12+$R$12)*Units/Diluted_Shares</f>
        <v>59.6430841166444</v>
      </c>
      <c r="K12" s="156" t="n">
        <f aca="false">(E12*$H12+$R$12)*Units/Diluted_Shares</f>
        <v>89.0793510169441</v>
      </c>
      <c r="L12" s="155" t="n">
        <f aca="false">(F12*$H12+$R$12)*Units/Diluted_Shares</f>
        <v>170.36589687768</v>
      </c>
      <c r="M12" s="157" t="n">
        <f aca="false">(G12*$H12+$R$12)*Units/Diluted_Shares</f>
        <v>181.291555529523</v>
      </c>
      <c r="O12" s="0" t="s">
        <v>156</v>
      </c>
      <c r="R12" s="29" t="n">
        <f aca="false">'AAPL-3-Statements'!E15-'AAPL-3-Statements'!E16-'AAPL-3-Statements'!E17-'AAPL-3-Statements'!E18-'AAPL-3-Statements'!E19</f>
        <v>35395</v>
      </c>
    </row>
    <row r="13" customFormat="false" ht="15" hidden="false" customHeight="false" outlineLevel="0" collapsed="false">
      <c r="B13" s="147" t="str">
        <f aca="false">Hist_Year+1&amp;"E EV / Revenue:"</f>
        <v>2010E EV / Revenue:</v>
      </c>
      <c r="C13" s="153" t="n">
        <f aca="false">'Public Comps'!$M$35</f>
        <v>0.272298068456121</v>
      </c>
      <c r="D13" s="153" t="n">
        <f aca="false">'Public Comps'!$M$34</f>
        <v>0.483559890363166</v>
      </c>
      <c r="E13" s="153" t="n">
        <f aca="false">'Public Comps'!$M$33</f>
        <v>1.00202254833957</v>
      </c>
      <c r="F13" s="153" t="n">
        <f aca="false">'Public Comps'!$M$32</f>
        <v>2.32308602688966</v>
      </c>
      <c r="G13" s="153" t="n">
        <f aca="false">'Public Comps'!$M$31</f>
        <v>2.59143018001822</v>
      </c>
      <c r="H13" s="154" t="n">
        <f aca="false">'AAPL-3-Statements'!I66</f>
        <v>53631.25</v>
      </c>
      <c r="I13" s="158" t="n">
        <f aca="false">(C13*$H13+$R$12)*Units/Diluted_Shares</f>
        <v>54.3153655915866</v>
      </c>
      <c r="J13" s="158" t="n">
        <f aca="false">(D13*$H13+$R$12)*Units/Diluted_Shares</f>
        <v>66.623806872637</v>
      </c>
      <c r="K13" s="159" t="n">
        <f aca="false">(E13*$H13+$R$12)*Units/Diluted_Shares</f>
        <v>96.8302451420547</v>
      </c>
      <c r="L13" s="158" t="n">
        <f aca="false">(F13*$H13+$R$12)*Units/Diluted_Shares</f>
        <v>173.797451556796</v>
      </c>
      <c r="M13" s="160" t="n">
        <f aca="false">(G13*$H13+$R$12)*Units/Diluted_Shares</f>
        <v>189.43159795429</v>
      </c>
    </row>
    <row r="14" customFormat="false" ht="15" hidden="false" customHeight="false" outlineLevel="0" collapsed="false">
      <c r="B14" s="147" t="str">
        <f aca="false">Hist_Year&amp;" EV / EBITDA:"</f>
        <v>2009 EV / EBITDA:</v>
      </c>
      <c r="C14" s="153" t="n">
        <f aca="false">'Public Comps'!$N$35</f>
        <v>4.40159574754816</v>
      </c>
      <c r="D14" s="153" t="n">
        <f aca="false">'Public Comps'!$N$34</f>
        <v>7.30141477809254</v>
      </c>
      <c r="E14" s="153" t="n">
        <f aca="false">'Public Comps'!$N$33</f>
        <v>7.57196847990385</v>
      </c>
      <c r="F14" s="153" t="n">
        <f aca="false">'Public Comps'!$N$32</f>
        <v>10.5866455438755</v>
      </c>
      <c r="G14" s="153" t="n">
        <f aca="false">'Public Comps'!$N$31</f>
        <v>11.5177072806155</v>
      </c>
      <c r="H14" s="154" t="n">
        <f aca="false">'AAPL-3-Statements'!H91</f>
        <v>13184</v>
      </c>
      <c r="I14" s="158" t="n">
        <f aca="false">(C14*$H14+$R$12)*Units/Diluted_Shares</f>
        <v>101.491621675081</v>
      </c>
      <c r="J14" s="158" t="n">
        <f aca="false">(D14*$H14+$R$12)*Units/Diluted_Shares</f>
        <v>143.02356072957</v>
      </c>
      <c r="K14" s="159" t="n">
        <f aca="false">(E14*$H14+$R$12)*Units/Diluted_Shares</f>
        <v>146.898499039939</v>
      </c>
      <c r="L14" s="158" t="n">
        <f aca="false">(F14*$H14+$R$12)*Units/Diluted_Shares</f>
        <v>190.075463799127</v>
      </c>
      <c r="M14" s="160" t="n">
        <f aca="false">(G14*$H14+$R$12)*Units/Diluted_Shares</f>
        <v>203.410364666715</v>
      </c>
    </row>
    <row r="15" customFormat="false" ht="15" hidden="false" customHeight="false" outlineLevel="0" collapsed="false">
      <c r="B15" s="147" t="str">
        <f aca="false">Hist_Year+1&amp;"E EV / EBITDA:"</f>
        <v>2010E EV / EBITDA:</v>
      </c>
      <c r="C15" s="153" t="n">
        <f aca="false">'Public Comps'!$O$35</f>
        <v>3.6521838292807</v>
      </c>
      <c r="D15" s="153" t="n">
        <f aca="false">'Public Comps'!$O$34</f>
        <v>5.0613454546526</v>
      </c>
      <c r="E15" s="153" t="n">
        <f aca="false">'Public Comps'!$O$33</f>
        <v>5.53471558995848</v>
      </c>
      <c r="F15" s="153" t="n">
        <f aca="false">'Public Comps'!$O$32</f>
        <v>6.84208501211152</v>
      </c>
      <c r="G15" s="153" t="n">
        <f aca="false">'Public Comps'!$O$31</f>
        <v>8.3506372710263</v>
      </c>
      <c r="H15" s="154" t="n">
        <f aca="false">'AAPL-3-Statements'!I91</f>
        <v>16480</v>
      </c>
      <c r="I15" s="158" t="n">
        <f aca="false">(C15*$H15+$R$12)*Units/Diluted_Shares</f>
        <v>103.835229626333</v>
      </c>
      <c r="J15" s="158" t="n">
        <f aca="false">(D15*$H15+$R$12)*Units/Diluted_Shares</f>
        <v>129.063189598323</v>
      </c>
      <c r="K15" s="159" t="n">
        <f aca="false">(E15*$H15+$R$12)*Units/Diluted_Shares</f>
        <v>137.537847586743</v>
      </c>
      <c r="L15" s="158" t="n">
        <f aca="false">(F15*$H15+$R$12)*Units/Diluted_Shares</f>
        <v>160.943440569716</v>
      </c>
      <c r="M15" s="160" t="n">
        <f aca="false">(G15*$H15+$R$12)*Units/Diluted_Shares</f>
        <v>187.950772672954</v>
      </c>
    </row>
    <row r="16" customFormat="false" ht="15" hidden="false" customHeight="false" outlineLevel="0" collapsed="false">
      <c r="B16" s="147" t="str">
        <f aca="false">Hist_Year&amp;" P / E:"</f>
        <v>2009 P / E:</v>
      </c>
      <c r="C16" s="153" t="n">
        <f aca="false">'Public Comps'!$P$35</f>
        <v>14.9904458598726</v>
      </c>
      <c r="D16" s="153" t="n">
        <f aca="false">'Public Comps'!$P$34</f>
        <v>16.0549653610721</v>
      </c>
      <c r="E16" s="153" t="n">
        <f aca="false">'Public Comps'!$P$33</f>
        <v>19.7364908841159</v>
      </c>
      <c r="F16" s="153" t="n">
        <f aca="false">'Public Comps'!$P$32</f>
        <v>29.0890885912074</v>
      </c>
      <c r="G16" s="153" t="n">
        <f aca="false">'Public Comps'!$P$31</f>
        <v>47.1668246445498</v>
      </c>
      <c r="H16" s="161" t="n">
        <f aca="false">'AAPL-3-Statements'!H87</f>
        <v>9.07933252848661</v>
      </c>
      <c r="I16" s="158" t="n">
        <f aca="false">C16*$H16</f>
        <v>136.103242712059</v>
      </c>
      <c r="J16" s="158" t="n">
        <f aca="false">D16*$H16</f>
        <v>145.768369246507</v>
      </c>
      <c r="K16" s="159" t="n">
        <f aca="false">E16*$H16</f>
        <v>179.194163682333</v>
      </c>
      <c r="L16" s="158" t="n">
        <f aca="false">F16*$H16</f>
        <v>264.109508270178</v>
      </c>
      <c r="M16" s="160" t="n">
        <f aca="false">G16*$H16</f>
        <v>428.243285260685</v>
      </c>
      <c r="O16" s="103"/>
    </row>
    <row r="17" customFormat="false" ht="15" hidden="false" customHeight="false" outlineLevel="0" collapsed="false">
      <c r="B17" s="147" t="str">
        <f aca="false">Hist_Year+1&amp;"E P / E:"</f>
        <v>2010E P / E:</v>
      </c>
      <c r="C17" s="153" t="n">
        <f aca="false">'Public Comps'!$Q$35</f>
        <v>10.9322033898305</v>
      </c>
      <c r="D17" s="153" t="n">
        <f aca="false">'Public Comps'!$Q$34</f>
        <v>12.1627906976744</v>
      </c>
      <c r="E17" s="153" t="n">
        <f aca="false">'Public Comps'!$Q$33</f>
        <v>16.2826086956522</v>
      </c>
      <c r="F17" s="153" t="n">
        <f aca="false">'Public Comps'!$Q$32</f>
        <v>16.6167023554604</v>
      </c>
      <c r="G17" s="153" t="n">
        <f aca="false">'Public Comps'!$Q$31</f>
        <v>44.5733944954128</v>
      </c>
      <c r="H17" s="161" t="n">
        <f aca="false">'AAPL-3-Statements'!I87</f>
        <v>11.5875629642752</v>
      </c>
      <c r="I17" s="158" t="n">
        <f aca="false">C17*$H17</f>
        <v>126.677595117924</v>
      </c>
      <c r="J17" s="158" t="n">
        <f aca="false">D17*$H17</f>
        <v>140.937103030603</v>
      </c>
      <c r="K17" s="159" t="n">
        <f aca="false">E17*$H17</f>
        <v>188.675753483525</v>
      </c>
      <c r="L17" s="158" t="n">
        <f aca="false">F17*$H17</f>
        <v>192.547084802518</v>
      </c>
      <c r="M17" s="160" t="n">
        <f aca="false">G17*$H17</f>
        <v>516.497015247075</v>
      </c>
    </row>
    <row r="18" customFormat="false" ht="15" hidden="false" customHeight="false" outlineLevel="0" collapsed="false">
      <c r="B18" s="147"/>
      <c r="C18" s="162"/>
      <c r="D18" s="152"/>
      <c r="E18" s="162"/>
      <c r="F18" s="152"/>
      <c r="G18" s="152"/>
      <c r="H18" s="152"/>
      <c r="I18" s="152"/>
      <c r="J18" s="152"/>
      <c r="K18" s="152"/>
      <c r="L18" s="152"/>
      <c r="M18" s="43"/>
    </row>
    <row r="19" customFormat="false" ht="15" hidden="false" customHeight="false" outlineLevel="0" collapsed="false">
      <c r="B19" s="150" t="s">
        <v>157</v>
      </c>
      <c r="C19" s="162"/>
      <c r="D19" s="152"/>
      <c r="E19" s="162"/>
      <c r="F19" s="152"/>
      <c r="G19" s="152"/>
      <c r="H19" s="152"/>
      <c r="I19" s="152"/>
      <c r="J19" s="152"/>
      <c r="K19" s="152"/>
      <c r="L19" s="152"/>
      <c r="M19" s="43"/>
    </row>
    <row r="20" customFormat="false" ht="15" hidden="false" customHeight="false" outlineLevel="0" collapsed="false">
      <c r="B20" s="147" t="s">
        <v>158</v>
      </c>
      <c r="C20" s="153" t="n">
        <f aca="false">'M&amp;A-Comps'!$K$20</f>
        <v>0.406736659437236</v>
      </c>
      <c r="D20" s="153" t="n">
        <f aca="false">'M&amp;A-Comps'!$K$19</f>
        <v>1.9443931076238</v>
      </c>
      <c r="E20" s="153" t="n">
        <f aca="false">'M&amp;A-Comps'!$K$18</f>
        <v>2.73262595192216</v>
      </c>
      <c r="F20" s="153" t="n">
        <f aca="false">'M&amp;A-Comps'!$K$17</f>
        <v>6.03240318338407</v>
      </c>
      <c r="G20" s="153" t="n">
        <f aca="false">'M&amp;A-Comps'!$K$16</f>
        <v>8.27874899809508</v>
      </c>
      <c r="H20" s="154" t="n">
        <f aca="false">'AAPL-3-Statements'!H66</f>
        <v>42905</v>
      </c>
      <c r="I20" s="155" t="n">
        <f aca="false">(C20*$H20+$R$12)*Units/Diluted_Shares</f>
        <v>57.4085446581714</v>
      </c>
      <c r="J20" s="155" t="n">
        <f aca="false">(D20*$H20+$R$12)*Units/Diluted_Shares</f>
        <v>129.077543560435</v>
      </c>
      <c r="K20" s="156" t="n">
        <f aca="false">(E20*$H20+$R$12)*Units/Diluted_Shares</f>
        <v>165.81647761776</v>
      </c>
      <c r="L20" s="155" t="n">
        <f aca="false">(F20*$H20+$R$12)*Units/Diluted_Shares</f>
        <v>319.616587556663</v>
      </c>
      <c r="M20" s="157" t="n">
        <f aca="false">(G20*$H20+$R$12)*Units/Diluted_Shares</f>
        <v>424.317059445878</v>
      </c>
    </row>
    <row r="21" customFormat="false" ht="15" hidden="false" customHeight="false" outlineLevel="0" collapsed="false">
      <c r="B21" s="147" t="s">
        <v>159</v>
      </c>
      <c r="C21" s="153" t="n">
        <f aca="false">'M&amp;A-Comps'!$L$20</f>
        <v>0.432661768257942</v>
      </c>
      <c r="D21" s="153" t="n">
        <f aca="false">'M&amp;A-Comps'!$L$19</f>
        <v>2.14307846776721</v>
      </c>
      <c r="E21" s="153" t="n">
        <f aca="false">'M&amp;A-Comps'!$L$18</f>
        <v>2.73920640063476</v>
      </c>
      <c r="F21" s="153" t="n">
        <f aca="false">'M&amp;A-Comps'!$L$17</f>
        <v>4.9811727305499</v>
      </c>
      <c r="G21" s="153" t="n">
        <f aca="false">'M&amp;A-Comps'!$L$16</f>
        <v>7.4560741875</v>
      </c>
      <c r="H21" s="154" t="n">
        <f aca="false">'AAPL-3-Statements'!I66</f>
        <v>53631.25</v>
      </c>
      <c r="I21" s="158" t="n">
        <f aca="false">(C21*$H21+$R$12)*Units/Diluted_Shares</f>
        <v>63.6584033672013</v>
      </c>
      <c r="J21" s="158" t="n">
        <f aca="false">(D21*$H21+$R$12)*Units/Diluted_Shares</f>
        <v>163.309932081655</v>
      </c>
      <c r="K21" s="159" t="n">
        <f aca="false">(E21*$H21+$R$12)*Units/Diluted_Shares</f>
        <v>198.041269677156</v>
      </c>
      <c r="L21" s="158" t="n">
        <f aca="false">(F21*$H21+$R$12)*Units/Diluted_Shares</f>
        <v>328.661703964588</v>
      </c>
      <c r="M21" s="160" t="n">
        <f aca="false">(G21*$H21+$R$12)*Units/Diluted_Shares</f>
        <v>472.853299891747</v>
      </c>
    </row>
    <row r="22" customFormat="false" ht="15" hidden="false" customHeight="false" outlineLevel="0" collapsed="false">
      <c r="B22" s="147" t="s">
        <v>160</v>
      </c>
      <c r="C22" s="153" t="n">
        <f aca="false">'M&amp;A-Comps'!$M$20</f>
        <v>8.65441598314607</v>
      </c>
      <c r="D22" s="153" t="n">
        <f aca="false">'M&amp;A-Comps'!$M$19</f>
        <v>11.4886104717993</v>
      </c>
      <c r="E22" s="153" t="n">
        <f aca="false">'M&amp;A-Comps'!$M$18</f>
        <v>14.3720587651288</v>
      </c>
      <c r="F22" s="153" t="n">
        <f aca="false">'M&amp;A-Comps'!$M$17</f>
        <v>17.2516842665031</v>
      </c>
      <c r="G22" s="153" t="n">
        <f aca="false">'M&amp;A-Comps'!$M$16</f>
        <v>39.6549048071985</v>
      </c>
      <c r="H22" s="154" t="n">
        <f aca="false">'AAPL-3-Statements'!H91</f>
        <v>13184</v>
      </c>
      <c r="I22" s="158" t="n">
        <f aca="false">(C22*$H22+$R$12)*Units/Diluted_Shares</f>
        <v>162.401585012135</v>
      </c>
      <c r="J22" s="158" t="n">
        <f aca="false">(D22*$H22+$R$12)*Units/Diluted_Shares</f>
        <v>202.993632837001</v>
      </c>
      <c r="K22" s="159" t="n">
        <f aca="false">(E22*$H22+$R$12)*Units/Diluted_Shares</f>
        <v>244.291106066856</v>
      </c>
      <c r="L22" s="158" t="n">
        <f aca="false">(F22*$H22+$R$12)*Units/Diluted_Shares</f>
        <v>285.533828306795</v>
      </c>
      <c r="M22" s="160" t="n">
        <f aca="false">(G22*$H22+$R$12)*Units/Diluted_Shares</f>
        <v>606.398399619634</v>
      </c>
    </row>
    <row r="23" customFormat="false" ht="15" hidden="false" customHeight="false" outlineLevel="0" collapsed="false">
      <c r="B23" s="147" t="s">
        <v>161</v>
      </c>
      <c r="C23" s="153" t="n">
        <f aca="false">'M&amp;A-Comps'!$N$20</f>
        <v>9.64871359609878</v>
      </c>
      <c r="D23" s="153" t="n">
        <f aca="false">'M&amp;A-Comps'!$N$19</f>
        <v>13.3639374415008</v>
      </c>
      <c r="E23" s="153" t="n">
        <f aca="false">'M&amp;A-Comps'!$N$18</f>
        <v>19.0644744014438</v>
      </c>
      <c r="F23" s="153" t="n">
        <f aca="false">'M&amp;A-Comps'!$N$17</f>
        <v>23.8683869442488</v>
      </c>
      <c r="G23" s="153" t="n">
        <f aca="false">'M&amp;A-Comps'!$N$16</f>
        <v>32.7973942540717</v>
      </c>
      <c r="H23" s="154" t="n">
        <f aca="false">'AAPL-3-Statements'!I91</f>
        <v>16480</v>
      </c>
      <c r="I23" s="158" t="n">
        <f aca="false">(C23*$H23+$R$12)*Units/Diluted_Shares</f>
        <v>211.189993057538</v>
      </c>
      <c r="J23" s="158" t="n">
        <f aca="false">(D23*$H23+$R$12)*Units/Diluted_Shares</f>
        <v>277.702958476992</v>
      </c>
      <c r="K23" s="159" t="n">
        <f aca="false">(E23*$H23+$R$12)*Units/Diluted_Shares</f>
        <v>379.758617426929</v>
      </c>
      <c r="L23" s="158" t="n">
        <f aca="false">(F23*$H23+$R$12)*Units/Diluted_Shares</f>
        <v>465.762175256457</v>
      </c>
      <c r="M23" s="160" t="n">
        <f aca="false">(G23*$H23+$R$12)*Units/Diluted_Shares</f>
        <v>625.616541814562</v>
      </c>
    </row>
    <row r="24" customFormat="false" ht="15" hidden="false" customHeight="false" outlineLevel="0" collapsed="false">
      <c r="B24" s="147"/>
      <c r="C24" s="162"/>
      <c r="D24" s="152"/>
      <c r="E24" s="162"/>
      <c r="F24" s="152"/>
      <c r="G24" s="152"/>
      <c r="H24" s="152"/>
      <c r="I24" s="152"/>
      <c r="J24" s="152"/>
      <c r="K24" s="152"/>
      <c r="L24" s="152"/>
      <c r="M24" s="43"/>
    </row>
    <row r="25" customFormat="false" ht="15" hidden="false" customHeight="false" outlineLevel="0" collapsed="false">
      <c r="B25" s="150" t="s">
        <v>162</v>
      </c>
      <c r="C25" s="162"/>
      <c r="D25" s="152"/>
      <c r="E25" s="162"/>
      <c r="F25" s="152"/>
      <c r="G25" s="152"/>
      <c r="H25" s="152"/>
      <c r="I25" s="152"/>
      <c r="J25" s="152"/>
      <c r="K25" s="152"/>
      <c r="L25" s="152"/>
      <c r="M25" s="43"/>
    </row>
    <row r="26" customFormat="false" ht="15" hidden="false" customHeight="false" outlineLevel="0" collapsed="false">
      <c r="B26" s="163" t="s">
        <v>163</v>
      </c>
      <c r="C26" s="164"/>
      <c r="D26" s="164"/>
      <c r="E26" s="164"/>
      <c r="F26" s="164"/>
      <c r="G26" s="164"/>
      <c r="H26" s="165"/>
      <c r="I26" s="166" t="n">
        <f aca="false">DCF!I43</f>
        <v>163.884677361143</v>
      </c>
      <c r="J26" s="166" t="n">
        <f aca="false">DCF!H44</f>
        <v>182.193646874392</v>
      </c>
      <c r="K26" s="166" t="n">
        <f aca="false">DCF!G45</f>
        <v>201.979592212192</v>
      </c>
      <c r="L26" s="166" t="n">
        <f aca="false">DCF!F46</f>
        <v>223.358928066173</v>
      </c>
      <c r="M26" s="167" t="n">
        <f aca="false">DCF!E47</f>
        <v>246.457853425245</v>
      </c>
    </row>
    <row r="28" customFormat="false" ht="15" hidden="false" customHeight="false" outlineLevel="0" collapsed="false">
      <c r="B28" s="168"/>
    </row>
    <row r="29" customFormat="false" ht="15" hidden="false" customHeight="false" outlineLevel="0" collapsed="false">
      <c r="B29" s="168"/>
    </row>
    <row r="30" customFormat="false" ht="15" hidden="false" customHeight="false" outlineLevel="0" collapsed="false">
      <c r="B30" s="168"/>
    </row>
    <row r="31" customFormat="false" ht="15" hidden="false" customHeight="false" outlineLevel="0" collapsed="false">
      <c r="B31" s="168"/>
      <c r="C31" s="72"/>
    </row>
    <row r="32" customFormat="false" ht="15" hidden="false" customHeight="false" outlineLevel="0" collapsed="false">
      <c r="B32" s="168"/>
    </row>
    <row r="33" customFormat="false" ht="15" hidden="false" customHeight="false" outlineLevel="0" collapsed="false">
      <c r="B33" s="168"/>
    </row>
    <row r="34" customFormat="false" ht="15" hidden="false" customHeight="false" outlineLevel="0" collapsed="false">
      <c r="B34" s="168"/>
    </row>
  </sheetData>
  <mergeCells count="2">
    <mergeCell ref="C5:H5"/>
    <mergeCell ref="I5:M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5:P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</cols>
  <sheetData>
    <row r="25" customFormat="false" ht="15" hidden="false" customHeight="false" outlineLevel="0" collapsed="false">
      <c r="G25" s="0" t="s">
        <v>164</v>
      </c>
      <c r="H25" s="0" t="s">
        <v>145</v>
      </c>
      <c r="I25" s="0" t="s">
        <v>150</v>
      </c>
      <c r="J25" s="0" t="s">
        <v>146</v>
      </c>
      <c r="K25" s="0" t="s">
        <v>165</v>
      </c>
      <c r="L25" s="0" t="s">
        <v>166</v>
      </c>
      <c r="M25" s="0" t="s">
        <v>167</v>
      </c>
      <c r="N25" s="0" t="s">
        <v>168</v>
      </c>
      <c r="O25" s="0" t="s">
        <v>169</v>
      </c>
      <c r="P25" s="0" t="s">
        <v>170</v>
      </c>
    </row>
    <row r="26" customFormat="false" ht="15" hidden="false" customHeight="false" outlineLevel="0" collapsed="false">
      <c r="B26" s="0" t="str">
        <f aca="false">ValSum!B26</f>
        <v>11-15% Discount Rate, 5-9x Terminal Multiple:</v>
      </c>
      <c r="G26" s="169" t="n">
        <f aca="false">ValSum!I26</f>
        <v>163.884677361143</v>
      </c>
      <c r="H26" s="169" t="n">
        <f aca="false">ValSum!J26</f>
        <v>182.193646874392</v>
      </c>
      <c r="I26" s="169" t="n">
        <f aca="false">ValSum!K26</f>
        <v>201.979592212192</v>
      </c>
      <c r="J26" s="169" t="n">
        <f aca="false">ValSum!L26</f>
        <v>223.358928066173</v>
      </c>
      <c r="K26" s="169" t="n">
        <f aca="false">ValSum!M26</f>
        <v>246.457853425245</v>
      </c>
      <c r="L26" s="170" t="n">
        <f aca="false">G26</f>
        <v>163.884677361143</v>
      </c>
      <c r="M26" s="170" t="n">
        <f aca="false">H26-G26</f>
        <v>18.3089695132487</v>
      </c>
      <c r="N26" s="170" t="n">
        <f aca="false">I26-H26</f>
        <v>19.7859453378003</v>
      </c>
      <c r="O26" s="170" t="n">
        <f aca="false">J26-I26</f>
        <v>21.3793358539816</v>
      </c>
      <c r="P26" s="170" t="n">
        <f aca="false">K26-J26</f>
        <v>23.0989253590719</v>
      </c>
    </row>
    <row r="27" customFormat="false" ht="15" hidden="false" customHeight="false" outlineLevel="0" collapsed="false">
      <c r="G27" s="171"/>
      <c r="H27" s="171"/>
      <c r="I27" s="171"/>
      <c r="J27" s="171"/>
      <c r="K27" s="171"/>
    </row>
    <row r="28" customFormat="false" ht="15" hidden="false" customHeight="false" outlineLevel="0" collapsed="false">
      <c r="B28" s="0" t="str">
        <f aca="false">ValSum!B23</f>
        <v>Forward EV / EBITDA:</v>
      </c>
      <c r="G28" s="169" t="n">
        <f aca="false">ValSum!I23</f>
        <v>211.189993057538</v>
      </c>
      <c r="H28" s="169" t="n">
        <f aca="false">ValSum!J23</f>
        <v>277.702958476992</v>
      </c>
      <c r="I28" s="169" t="n">
        <f aca="false">ValSum!K23</f>
        <v>379.758617426929</v>
      </c>
      <c r="J28" s="169" t="n">
        <f aca="false">ValSum!L23</f>
        <v>465.762175256457</v>
      </c>
      <c r="K28" s="169" t="n">
        <f aca="false">ValSum!M23</f>
        <v>625.616541814562</v>
      </c>
      <c r="L28" s="170" t="n">
        <f aca="false">G28</f>
        <v>211.189993057538</v>
      </c>
      <c r="M28" s="170" t="n">
        <f aca="false">H28-G28</f>
        <v>66.5129654194544</v>
      </c>
      <c r="N28" s="170" t="n">
        <f aca="false">I28-H28</f>
        <v>102.055658949936</v>
      </c>
      <c r="O28" s="170" t="n">
        <f aca="false">J28-I28</f>
        <v>86.0035578295281</v>
      </c>
      <c r="P28" s="170" t="n">
        <f aca="false">K28-J28</f>
        <v>159.854366558105</v>
      </c>
    </row>
    <row r="29" customFormat="false" ht="15" hidden="false" customHeight="false" outlineLevel="0" collapsed="false">
      <c r="B29" s="0" t="str">
        <f aca="false">ValSum!B22</f>
        <v>Trailing EV / EBITDA:</v>
      </c>
      <c r="G29" s="169" t="n">
        <f aca="false">ValSum!I22</f>
        <v>162.401585012135</v>
      </c>
      <c r="H29" s="169" t="n">
        <f aca="false">ValSum!J22</f>
        <v>202.993632837001</v>
      </c>
      <c r="I29" s="169" t="n">
        <f aca="false">ValSum!K22</f>
        <v>244.291106066856</v>
      </c>
      <c r="J29" s="169" t="n">
        <f aca="false">ValSum!L22</f>
        <v>285.533828306795</v>
      </c>
      <c r="K29" s="169" t="n">
        <f aca="false">ValSum!M22</f>
        <v>606.398399619634</v>
      </c>
      <c r="L29" s="170" t="n">
        <f aca="false">G29</f>
        <v>162.401585012135</v>
      </c>
      <c r="M29" s="170" t="n">
        <f aca="false">H29-G29</f>
        <v>40.5920478248665</v>
      </c>
      <c r="N29" s="170" t="n">
        <f aca="false">I29-H29</f>
        <v>41.2974732298545</v>
      </c>
      <c r="O29" s="170" t="n">
        <f aca="false">J29-I29</f>
        <v>41.2427222399394</v>
      </c>
      <c r="P29" s="170" t="n">
        <f aca="false">K29-J29</f>
        <v>320.864571312839</v>
      </c>
    </row>
    <row r="30" customFormat="false" ht="15" hidden="false" customHeight="false" outlineLevel="0" collapsed="false">
      <c r="B30" s="0" t="str">
        <f aca="false">ValSum!B21</f>
        <v>Forward EV / Revenue:</v>
      </c>
      <c r="G30" s="169" t="n">
        <f aca="false">ValSum!I21</f>
        <v>63.6584033672013</v>
      </c>
      <c r="H30" s="169" t="n">
        <f aca="false">ValSum!J21</f>
        <v>163.309932081655</v>
      </c>
      <c r="I30" s="169" t="n">
        <f aca="false">ValSum!K21</f>
        <v>198.041269677156</v>
      </c>
      <c r="J30" s="169" t="n">
        <f aca="false">ValSum!L21</f>
        <v>328.661703964588</v>
      </c>
      <c r="K30" s="169" t="n">
        <f aca="false">ValSum!M21</f>
        <v>472.853299891747</v>
      </c>
      <c r="L30" s="170" t="n">
        <f aca="false">G30</f>
        <v>63.6584033672013</v>
      </c>
      <c r="M30" s="170" t="n">
        <f aca="false">H30-G30</f>
        <v>99.6515287144536</v>
      </c>
      <c r="N30" s="170" t="n">
        <f aca="false">I30-H30</f>
        <v>34.7313375955011</v>
      </c>
      <c r="O30" s="170" t="n">
        <f aca="false">J30-I30</f>
        <v>130.620434287432</v>
      </c>
      <c r="P30" s="170" t="n">
        <f aca="false">K30-J30</f>
        <v>144.19159592716</v>
      </c>
    </row>
    <row r="31" customFormat="false" ht="15" hidden="false" customHeight="false" outlineLevel="0" collapsed="false">
      <c r="B31" s="0" t="str">
        <f aca="false">ValSum!B20</f>
        <v>Trailing EV / Revenue:</v>
      </c>
      <c r="G31" s="169" t="n">
        <f aca="false">ValSum!I20</f>
        <v>57.4085446581714</v>
      </c>
      <c r="H31" s="169" t="n">
        <f aca="false">ValSum!J20</f>
        <v>129.077543560435</v>
      </c>
      <c r="I31" s="169" t="n">
        <f aca="false">ValSum!K20</f>
        <v>165.81647761776</v>
      </c>
      <c r="J31" s="169" t="n">
        <f aca="false">ValSum!L20</f>
        <v>319.616587556663</v>
      </c>
      <c r="K31" s="169" t="n">
        <f aca="false">ValSum!M20</f>
        <v>424.317059445878</v>
      </c>
      <c r="L31" s="170" t="n">
        <f aca="false">G31</f>
        <v>57.4085446581714</v>
      </c>
      <c r="M31" s="170" t="n">
        <f aca="false">H31-G31</f>
        <v>71.6689989022632</v>
      </c>
      <c r="N31" s="170" t="n">
        <f aca="false">I31-H31</f>
        <v>36.7389340573255</v>
      </c>
      <c r="O31" s="170" t="n">
        <f aca="false">J31-I31</f>
        <v>153.800109938903</v>
      </c>
      <c r="P31" s="170" t="n">
        <f aca="false">K31-J31</f>
        <v>104.700471889215</v>
      </c>
    </row>
    <row r="32" customFormat="false" ht="15" hidden="false" customHeight="false" outlineLevel="0" collapsed="false">
      <c r="G32" s="171"/>
      <c r="H32" s="171"/>
      <c r="I32" s="171"/>
      <c r="J32" s="171"/>
      <c r="K32" s="171"/>
    </row>
    <row r="33" customFormat="false" ht="15" hidden="false" customHeight="false" outlineLevel="0" collapsed="false">
      <c r="B33" s="0" t="str">
        <f aca="false">ValSum!B17</f>
        <v>2010E P / E:</v>
      </c>
      <c r="G33" s="169" t="n">
        <f aca="false">ValSum!I17</f>
        <v>126.677595117924</v>
      </c>
      <c r="H33" s="169" t="n">
        <f aca="false">ValSum!J17</f>
        <v>140.937103030603</v>
      </c>
      <c r="I33" s="169" t="n">
        <f aca="false">ValSum!K17</f>
        <v>188.675753483525</v>
      </c>
      <c r="J33" s="169" t="n">
        <f aca="false">ValSum!L17</f>
        <v>192.547084802518</v>
      </c>
      <c r="K33" s="169" t="n">
        <f aca="false">ValSum!M17</f>
        <v>516.497015247075</v>
      </c>
      <c r="L33" s="170" t="n">
        <f aca="false">G33</f>
        <v>126.677595117924</v>
      </c>
      <c r="M33" s="170" t="n">
        <f aca="false">H33-G33</f>
        <v>14.2595079126793</v>
      </c>
      <c r="N33" s="170" t="n">
        <f aca="false">I33-H33</f>
        <v>47.7386504529215</v>
      </c>
      <c r="O33" s="170" t="n">
        <f aca="false">J33-I33</f>
        <v>3.87133131899279</v>
      </c>
      <c r="P33" s="170" t="n">
        <f aca="false">K33-J33</f>
        <v>323.949930444557</v>
      </c>
    </row>
    <row r="34" customFormat="false" ht="15" hidden="false" customHeight="false" outlineLevel="0" collapsed="false">
      <c r="B34" s="0" t="str">
        <f aca="false">ValSum!B16</f>
        <v>2009 P / E:</v>
      </c>
      <c r="G34" s="169" t="n">
        <f aca="false">ValSum!I16</f>
        <v>136.103242712059</v>
      </c>
      <c r="H34" s="169" t="n">
        <f aca="false">ValSum!J16</f>
        <v>145.768369246507</v>
      </c>
      <c r="I34" s="169" t="n">
        <f aca="false">ValSum!K16</f>
        <v>179.194163682333</v>
      </c>
      <c r="J34" s="169" t="n">
        <f aca="false">ValSum!L16</f>
        <v>264.109508270178</v>
      </c>
      <c r="K34" s="169" t="n">
        <f aca="false">ValSum!M16</f>
        <v>428.243285260685</v>
      </c>
      <c r="L34" s="170" t="n">
        <f aca="false">G34</f>
        <v>136.103242712059</v>
      </c>
      <c r="M34" s="170" t="n">
        <f aca="false">H34-G34</f>
        <v>9.66512653444841</v>
      </c>
      <c r="N34" s="170" t="n">
        <f aca="false">I34-H34</f>
        <v>33.4257944358255</v>
      </c>
      <c r="O34" s="170" t="n">
        <f aca="false">J34-I34</f>
        <v>84.9153445878451</v>
      </c>
      <c r="P34" s="170" t="n">
        <f aca="false">K34-J34</f>
        <v>164.133776990507</v>
      </c>
    </row>
    <row r="35" customFormat="false" ht="15" hidden="false" customHeight="false" outlineLevel="0" collapsed="false">
      <c r="B35" s="0" t="str">
        <f aca="false">ValSum!B15</f>
        <v>2010E EV / EBITDA:</v>
      </c>
      <c r="G35" s="169" t="n">
        <f aca="false">ValSum!I15</f>
        <v>103.835229626333</v>
      </c>
      <c r="H35" s="169" t="n">
        <f aca="false">ValSum!J15</f>
        <v>129.063189598323</v>
      </c>
      <c r="I35" s="169" t="n">
        <f aca="false">ValSum!K15</f>
        <v>137.537847586743</v>
      </c>
      <c r="J35" s="169" t="n">
        <f aca="false">ValSum!L15</f>
        <v>160.943440569716</v>
      </c>
      <c r="K35" s="169" t="n">
        <f aca="false">ValSum!M15</f>
        <v>187.950772672954</v>
      </c>
      <c r="L35" s="170" t="n">
        <f aca="false">G35</f>
        <v>103.835229626333</v>
      </c>
      <c r="M35" s="170" t="n">
        <f aca="false">H35-G35</f>
        <v>25.2279599719898</v>
      </c>
      <c r="N35" s="170" t="n">
        <f aca="false">I35-H35</f>
        <v>8.47465798841964</v>
      </c>
      <c r="O35" s="170" t="n">
        <f aca="false">J35-I35</f>
        <v>23.4055929829735</v>
      </c>
      <c r="P35" s="170" t="n">
        <f aca="false">K35-J35</f>
        <v>27.0073321032377</v>
      </c>
    </row>
    <row r="36" customFormat="false" ht="15" hidden="false" customHeight="false" outlineLevel="0" collapsed="false">
      <c r="B36" s="0" t="str">
        <f aca="false">ValSum!B14</f>
        <v>2009 EV / EBITDA:</v>
      </c>
      <c r="G36" s="169" t="n">
        <f aca="false">ValSum!I14</f>
        <v>101.491621675081</v>
      </c>
      <c r="H36" s="169" t="n">
        <f aca="false">ValSum!J14</f>
        <v>143.02356072957</v>
      </c>
      <c r="I36" s="169" t="n">
        <f aca="false">ValSum!K14</f>
        <v>146.898499039939</v>
      </c>
      <c r="J36" s="169" t="n">
        <f aca="false">ValSum!L14</f>
        <v>190.075463799127</v>
      </c>
      <c r="K36" s="169" t="n">
        <f aca="false">ValSum!M14</f>
        <v>203.410364666715</v>
      </c>
      <c r="L36" s="170" t="n">
        <f aca="false">G36</f>
        <v>101.491621675081</v>
      </c>
      <c r="M36" s="170" t="n">
        <f aca="false">H36-G36</f>
        <v>41.531939054489</v>
      </c>
      <c r="N36" s="170" t="n">
        <f aca="false">I36-H36</f>
        <v>3.87493831036915</v>
      </c>
      <c r="O36" s="170" t="n">
        <f aca="false">J36-I36</f>
        <v>43.1769647591882</v>
      </c>
      <c r="P36" s="170" t="n">
        <f aca="false">K36-J36</f>
        <v>13.3349008675874</v>
      </c>
    </row>
    <row r="37" customFormat="false" ht="15" hidden="false" customHeight="false" outlineLevel="0" collapsed="false">
      <c r="B37" s="0" t="str">
        <f aca="false">ValSum!B13</f>
        <v>2010E EV / Revenue:</v>
      </c>
      <c r="G37" s="169" t="n">
        <f aca="false">ValSum!I13</f>
        <v>54.3153655915866</v>
      </c>
      <c r="H37" s="169" t="n">
        <f aca="false">ValSum!J13</f>
        <v>66.623806872637</v>
      </c>
      <c r="I37" s="169" t="n">
        <f aca="false">ValSum!K13</f>
        <v>96.8302451420547</v>
      </c>
      <c r="J37" s="169" t="n">
        <f aca="false">ValSum!L13</f>
        <v>173.797451556796</v>
      </c>
      <c r="K37" s="169" t="n">
        <f aca="false">ValSum!M13</f>
        <v>189.43159795429</v>
      </c>
      <c r="L37" s="170" t="n">
        <f aca="false">G37</f>
        <v>54.3153655915866</v>
      </c>
      <c r="M37" s="170" t="n">
        <f aca="false">H37-G37</f>
        <v>12.3084412810503</v>
      </c>
      <c r="N37" s="170" t="n">
        <f aca="false">I37-H37</f>
        <v>30.2064382694178</v>
      </c>
      <c r="O37" s="170" t="n">
        <f aca="false">J37-I37</f>
        <v>76.9672064147411</v>
      </c>
      <c r="P37" s="170" t="n">
        <f aca="false">K37-J37</f>
        <v>15.6341463974939</v>
      </c>
    </row>
    <row r="38" customFormat="false" ht="15" hidden="false" customHeight="false" outlineLevel="0" collapsed="false">
      <c r="B38" s="0" t="str">
        <f aca="false">ValSum!B12</f>
        <v>2009 EV / Revenue:</v>
      </c>
      <c r="G38" s="169" t="n">
        <f aca="false">ValSum!I12</f>
        <v>52.1172228460319</v>
      </c>
      <c r="H38" s="169" t="n">
        <f aca="false">ValSum!J12</f>
        <v>59.6430841166444</v>
      </c>
      <c r="I38" s="169" t="n">
        <f aca="false">ValSum!K12</f>
        <v>89.0793510169441</v>
      </c>
      <c r="J38" s="169" t="n">
        <f aca="false">ValSum!L12</f>
        <v>170.36589687768</v>
      </c>
      <c r="K38" s="169" t="n">
        <f aca="false">ValSum!M12</f>
        <v>181.291555529523</v>
      </c>
      <c r="L38" s="170" t="n">
        <f aca="false">G38</f>
        <v>52.1172228460319</v>
      </c>
      <c r="M38" s="170" t="n">
        <f aca="false">H38-G38</f>
        <v>7.52586127061258</v>
      </c>
      <c r="N38" s="170" t="n">
        <f aca="false">I38-H38</f>
        <v>29.4362669002997</v>
      </c>
      <c r="O38" s="170" t="n">
        <f aca="false">J38-I38</f>
        <v>81.286545860736</v>
      </c>
      <c r="P38" s="170" t="n">
        <f aca="false">K38-J38</f>
        <v>10.9256586518426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3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N37" activeCellId="0" sqref="N37"/>
    </sheetView>
  </sheetViews>
  <sheetFormatPr defaultColWidth="9.13671875" defaultRowHeight="12.75" zeroHeight="false" outlineLevelRow="0" outlineLevelCol="1"/>
  <cols>
    <col collapsed="false" customWidth="true" hidden="false" outlineLevel="0" max="1" min="1" style="172" width="2.71"/>
    <col collapsed="false" customWidth="true" hidden="false" outlineLevel="0" max="2" min="2" style="172" width="24.85"/>
    <col collapsed="false" customWidth="true" hidden="false" outlineLevel="0" max="3" min="3" style="172" width="8.99"/>
    <col collapsed="false" customWidth="true" hidden="true" outlineLevel="1" max="4" min="4" style="172" width="10.14"/>
    <col collapsed="false" customWidth="true" hidden="false" outlineLevel="0" max="5" min="5" style="172" width="10.14"/>
    <col collapsed="false" customWidth="true" hidden="true" outlineLevel="1" max="10" min="6" style="172" width="10.14"/>
    <col collapsed="false" customWidth="true" hidden="false" outlineLevel="0" max="22" min="11" style="172" width="10.14"/>
    <col collapsed="false" customWidth="false" hidden="false" outlineLevel="0" max="257" min="23" style="172" width="9.14"/>
  </cols>
  <sheetData>
    <row r="2" customFormat="false" ht="15" hidden="false" customHeight="false" outlineLevel="0" collapsed="false">
      <c r="B2" s="173" t="str">
        <f aca="false">"Comparable Companies - US-Based Hardware &amp; Networking Companies with Over $20 Billion Revenue"</f>
        <v>Comparable Companies - US-Based Hardware &amp; Networking Companies with Over $20 Billion Revenue</v>
      </c>
      <c r="C2" s="173"/>
      <c r="D2" s="173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</row>
    <row r="3" customFormat="false" ht="15" hidden="false" customHeight="false" outlineLevel="0" collapsed="false">
      <c r="B3" s="174" t="str">
        <f aca="false">'AAPL-3-Statements'!B3</f>
        <v>($ in Millions, Except Per Share Amounts in Dollars and Share Counts in Thousands)</v>
      </c>
      <c r="C3" s="173"/>
      <c r="D3" s="173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 customFormat="false" ht="15" hidden="false" customHeight="false" outlineLevel="0" collapsed="false">
      <c r="B4" s="174"/>
      <c r="C4" s="173"/>
      <c r="D4" s="173"/>
      <c r="E4" s="174"/>
      <c r="F4" s="174"/>
      <c r="G4" s="175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 customFormat="false" ht="15" hidden="false" customHeight="false" outlineLevel="0" collapsed="false">
      <c r="B5" s="3" t="s">
        <v>171</v>
      </c>
      <c r="C5" s="176"/>
      <c r="D5" s="176"/>
      <c r="E5" s="177" t="s">
        <v>172</v>
      </c>
      <c r="F5" s="177"/>
      <c r="G5" s="177"/>
      <c r="H5" s="177"/>
      <c r="I5" s="177"/>
      <c r="J5" s="177"/>
      <c r="K5" s="177"/>
      <c r="L5" s="178"/>
      <c r="M5" s="178"/>
      <c r="N5" s="178"/>
      <c r="O5" s="178"/>
      <c r="P5" s="178"/>
      <c r="Q5" s="178"/>
      <c r="R5" s="179" t="s">
        <v>173</v>
      </c>
      <c r="S5" s="177"/>
      <c r="T5" s="180"/>
    </row>
    <row r="6" customFormat="false" ht="15" hidden="false" customHeight="false" outlineLevel="0" collapsed="false">
      <c r="B6" s="138"/>
      <c r="C6" s="139" t="s">
        <v>174</v>
      </c>
      <c r="D6" s="139" t="s">
        <v>175</v>
      </c>
      <c r="E6" s="139" t="s">
        <v>176</v>
      </c>
      <c r="F6" s="139"/>
      <c r="G6" s="139"/>
      <c r="H6" s="139" t="s">
        <v>177</v>
      </c>
      <c r="I6" s="139" t="s">
        <v>178</v>
      </c>
      <c r="J6" s="139" t="s">
        <v>179</v>
      </c>
      <c r="K6" s="139" t="s">
        <v>180</v>
      </c>
      <c r="L6" s="140" t="s">
        <v>181</v>
      </c>
      <c r="M6" s="140"/>
      <c r="N6" s="140" t="s">
        <v>182</v>
      </c>
      <c r="O6" s="140"/>
      <c r="P6" s="140" t="s">
        <v>183</v>
      </c>
      <c r="Q6" s="140"/>
      <c r="R6" s="139" t="s">
        <v>181</v>
      </c>
      <c r="S6" s="142" t="s">
        <v>184</v>
      </c>
      <c r="T6" s="142"/>
    </row>
    <row r="7" customFormat="false" ht="15" hidden="false" customHeight="false" outlineLevel="0" collapsed="false">
      <c r="B7" s="144" t="s">
        <v>185</v>
      </c>
      <c r="C7" s="145" t="s">
        <v>20</v>
      </c>
      <c r="D7" s="145" t="s">
        <v>186</v>
      </c>
      <c r="E7" s="145" t="s">
        <v>187</v>
      </c>
      <c r="F7" s="145" t="s">
        <v>188</v>
      </c>
      <c r="G7" s="145" t="s">
        <v>189</v>
      </c>
      <c r="H7" s="145" t="s">
        <v>190</v>
      </c>
      <c r="I7" s="145" t="s">
        <v>191</v>
      </c>
      <c r="J7" s="145" t="s">
        <v>192</v>
      </c>
      <c r="K7" s="145" t="s">
        <v>187</v>
      </c>
      <c r="L7" s="181" t="n">
        <f aca="false">Hist_Year</f>
        <v>2009</v>
      </c>
      <c r="M7" s="181" t="str">
        <f aca="false">Hist_Year+1&amp;"E"</f>
        <v>2010E</v>
      </c>
      <c r="N7" s="181" t="n">
        <f aca="false">Hist_Year</f>
        <v>2009</v>
      </c>
      <c r="O7" s="181" t="str">
        <f aca="false">Hist_Year+1&amp;"E"</f>
        <v>2010E</v>
      </c>
      <c r="P7" s="181" t="n">
        <f aca="false">Hist_Year</f>
        <v>2009</v>
      </c>
      <c r="Q7" s="181" t="str">
        <f aca="false">Hist_Year+1&amp;"E"</f>
        <v>2010E</v>
      </c>
      <c r="R7" s="145" t="s">
        <v>193</v>
      </c>
      <c r="S7" s="181" t="n">
        <f aca="false">Hist_Year</f>
        <v>2009</v>
      </c>
      <c r="T7" s="182" t="str">
        <f aca="false">Hist_Year+1&amp;"E"</f>
        <v>2010E</v>
      </c>
    </row>
    <row r="8" customFormat="false" ht="15" hidden="false" customHeight="false" outlineLevel="0" collapsed="false">
      <c r="B8" s="174" t="s">
        <v>194</v>
      </c>
      <c r="C8" s="183" t="n">
        <v>47.07</v>
      </c>
      <c r="D8" s="19" t="n">
        <v>2438477.96962524</v>
      </c>
      <c r="E8" s="175" t="n">
        <f aca="false">C8/Units*D8</f>
        <v>114779.15803026</v>
      </c>
      <c r="F8" s="184" t="n">
        <v>13334</v>
      </c>
      <c r="G8" s="184" t="n">
        <v>15830</v>
      </c>
      <c r="H8" s="184" t="n">
        <v>0</v>
      </c>
      <c r="I8" s="184" t="n">
        <v>0</v>
      </c>
      <c r="J8" s="184" t="n">
        <v>7155</v>
      </c>
      <c r="K8" s="185" t="n">
        <f aca="false">E8-F8+G8+H8+I8+J8</f>
        <v>124430.15803026</v>
      </c>
      <c r="L8" s="186" t="n">
        <v>114552</v>
      </c>
      <c r="M8" s="186" t="n">
        <v>124179</v>
      </c>
      <c r="N8" s="186" t="n">
        <v>16433</v>
      </c>
      <c r="O8" s="186" t="n">
        <v>18186</v>
      </c>
      <c r="P8" s="187" t="n">
        <v>3.14</v>
      </c>
      <c r="Q8" s="187" t="n">
        <v>3.87</v>
      </c>
      <c r="R8" s="188" t="n">
        <f aca="false">M8/L8-1</f>
        <v>0.0840404357846218</v>
      </c>
      <c r="S8" s="188" t="n">
        <f aca="false">N8/L8</f>
        <v>0.143454501012641</v>
      </c>
      <c r="T8" s="188" t="n">
        <f aca="false">O8/M8</f>
        <v>0.14644988283043</v>
      </c>
    </row>
    <row r="9" customFormat="false" ht="15" hidden="false" customHeight="false" outlineLevel="0" collapsed="false">
      <c r="B9" s="174" t="s">
        <v>195</v>
      </c>
      <c r="C9" s="189" t="n">
        <v>12.9</v>
      </c>
      <c r="D9" s="19" t="n">
        <v>1956656.359</v>
      </c>
      <c r="E9" s="190" t="n">
        <f aca="false">C9/Units*D9</f>
        <v>25240.8670311</v>
      </c>
      <c r="F9" s="191" t="n">
        <v>13954</v>
      </c>
      <c r="G9" s="191" t="n">
        <v>3793</v>
      </c>
      <c r="H9" s="191" t="n">
        <v>0</v>
      </c>
      <c r="I9" s="191" t="n">
        <v>0</v>
      </c>
      <c r="J9" s="191" t="n">
        <v>0</v>
      </c>
      <c r="K9" s="192" t="n">
        <f aca="false">E9-F9+G9+H9+I9+J9</f>
        <v>15079.8670311</v>
      </c>
      <c r="L9" s="193" t="n">
        <v>51430</v>
      </c>
      <c r="M9" s="193" t="n">
        <v>55380</v>
      </c>
      <c r="N9" s="193" t="n">
        <v>3426</v>
      </c>
      <c r="O9" s="193" t="n">
        <v>4129</v>
      </c>
      <c r="P9" s="194" t="n">
        <v>0.786115364982134</v>
      </c>
      <c r="Q9" s="194" t="n">
        <v>1.18</v>
      </c>
      <c r="R9" s="188" t="n">
        <f aca="false">M9/L9-1</f>
        <v>0.0768034221271632</v>
      </c>
      <c r="S9" s="188" t="n">
        <f aca="false">N9/L9</f>
        <v>0.066614816255104</v>
      </c>
      <c r="T9" s="188" t="n">
        <f aca="false">O9/M9</f>
        <v>0.0745576020223908</v>
      </c>
    </row>
    <row r="10" customFormat="false" ht="15" hidden="false" customHeight="false" outlineLevel="0" collapsed="false">
      <c r="B10" s="174" t="s">
        <v>196</v>
      </c>
      <c r="C10" s="189" t="n">
        <v>22.47</v>
      </c>
      <c r="D10" s="19" t="n">
        <v>5862885.64753405</v>
      </c>
      <c r="E10" s="190" t="n">
        <f aca="false">C10/Units*D10</f>
        <v>131739.04050009</v>
      </c>
      <c r="F10" s="191" t="n">
        <v>35365</v>
      </c>
      <c r="G10" s="191" t="n">
        <v>10273</v>
      </c>
      <c r="H10" s="191" t="n">
        <v>0</v>
      </c>
      <c r="I10" s="191" t="n">
        <v>24</v>
      </c>
      <c r="J10" s="191" t="n">
        <v>0</v>
      </c>
      <c r="K10" s="192" t="n">
        <f aca="false">E10-F10+G10+H10+I10+J10</f>
        <v>106671.04050009</v>
      </c>
      <c r="L10" s="193" t="n">
        <v>34807</v>
      </c>
      <c r="M10" s="193" t="n">
        <v>41163</v>
      </c>
      <c r="N10" s="193" t="n">
        <v>10076</v>
      </c>
      <c r="O10" s="193" t="n">
        <v>12774</v>
      </c>
      <c r="P10" s="194" t="n">
        <v>0.974280361096917</v>
      </c>
      <c r="Q10" s="194" t="n">
        <v>1.38</v>
      </c>
      <c r="R10" s="188" t="n">
        <f aca="false">M10/L10-1</f>
        <v>0.182606946878501</v>
      </c>
      <c r="S10" s="188" t="n">
        <f aca="false">N10/L10</f>
        <v>0.289482000746976</v>
      </c>
      <c r="T10" s="188" t="n">
        <f aca="false">O10/M10</f>
        <v>0.310327235624226</v>
      </c>
    </row>
    <row r="11" customFormat="false" ht="15" hidden="false" customHeight="false" outlineLevel="0" collapsed="false">
      <c r="B11" s="174" t="s">
        <v>197</v>
      </c>
      <c r="C11" s="189" t="n">
        <v>19.4</v>
      </c>
      <c r="D11" s="19" t="n">
        <v>5527029.84536083</v>
      </c>
      <c r="E11" s="190" t="n">
        <f aca="false">C11/Units*D11</f>
        <v>107224.379</v>
      </c>
      <c r="F11" s="191" t="n">
        <v>17307</v>
      </c>
      <c r="G11" s="191" t="n">
        <v>2224</v>
      </c>
      <c r="H11" s="191" t="n">
        <v>0</v>
      </c>
      <c r="I11" s="191" t="n">
        <v>0</v>
      </c>
      <c r="J11" s="191" t="n">
        <v>645</v>
      </c>
      <c r="K11" s="192" t="n">
        <f aca="false">E11-F11+G11+H11+I11+J11</f>
        <v>92786.379</v>
      </c>
      <c r="L11" s="193" t="n">
        <v>32784</v>
      </c>
      <c r="M11" s="193" t="n">
        <v>39941</v>
      </c>
      <c r="N11" s="193" t="n">
        <v>12708</v>
      </c>
      <c r="O11" s="193" t="n">
        <v>18332.3544759639</v>
      </c>
      <c r="P11" s="194" t="n">
        <v>0.41130604288499</v>
      </c>
      <c r="Q11" s="194" t="n">
        <v>1.1675</v>
      </c>
      <c r="R11" s="188" t="n">
        <f aca="false">M11/L11-1</f>
        <v>0.218307711078575</v>
      </c>
      <c r="S11" s="188" t="n">
        <f aca="false">N11/L11</f>
        <v>0.387628111273792</v>
      </c>
      <c r="T11" s="188" t="n">
        <f aca="false">O11/M11</f>
        <v>0.458985866051523</v>
      </c>
    </row>
    <row r="12" customFormat="false" ht="15" hidden="false" customHeight="false" outlineLevel="0" collapsed="false">
      <c r="B12" s="174" t="s">
        <v>198</v>
      </c>
      <c r="C12" s="189" t="n">
        <v>6.15</v>
      </c>
      <c r="D12" s="19" t="n">
        <v>2315349.09623577</v>
      </c>
      <c r="E12" s="190" t="n">
        <f aca="false">C12/Units*D12</f>
        <v>14239.39694185</v>
      </c>
      <c r="F12" s="191" t="n">
        <v>7606</v>
      </c>
      <c r="G12" s="191" t="n">
        <v>3925</v>
      </c>
      <c r="H12" s="191" t="n">
        <v>0</v>
      </c>
      <c r="I12" s="191" t="n">
        <v>107</v>
      </c>
      <c r="J12" s="191" t="n">
        <v>0</v>
      </c>
      <c r="K12" s="192" t="n">
        <f aca="false">E12-F12+G12+H12+I12+J12</f>
        <v>10665.39694185</v>
      </c>
      <c r="L12" s="193" t="n">
        <v>23457</v>
      </c>
      <c r="M12" s="193" t="n">
        <v>22056</v>
      </c>
      <c r="N12" s="193" t="n">
        <v>926</v>
      </c>
      <c r="O12" s="193" t="n">
        <v>1927</v>
      </c>
      <c r="P12" s="194" t="n">
        <v>-1.69853326348874</v>
      </c>
      <c r="Q12" s="194" t="n">
        <v>0.137974683544304</v>
      </c>
      <c r="R12" s="188" t="n">
        <f aca="false">M12/L12-1</f>
        <v>-0.0597263077119836</v>
      </c>
      <c r="S12" s="188" t="n">
        <f aca="false">N12/L12</f>
        <v>0.0394764888945731</v>
      </c>
      <c r="T12" s="188" t="n">
        <f aca="false">O12/M12</f>
        <v>0.0873685165034458</v>
      </c>
    </row>
    <row r="13" customFormat="false" ht="15" hidden="false" customHeight="false" outlineLevel="0" collapsed="false"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</row>
    <row r="14" customFormat="false" ht="15" hidden="false" customHeight="false" outlineLevel="0" collapsed="false">
      <c r="B14" s="195" t="s">
        <v>151</v>
      </c>
      <c r="C14" s="196" t="n">
        <f aca="false">MAX(C8:C12)</f>
        <v>47.07</v>
      </c>
      <c r="D14" s="196"/>
      <c r="E14" s="197" t="n">
        <f aca="false">MAX(E8:E12)</f>
        <v>131739.04050009</v>
      </c>
      <c r="F14" s="197" t="n">
        <f aca="false">MAX(F8:F12)</f>
        <v>35365</v>
      </c>
      <c r="G14" s="197" t="n">
        <f aca="false">MAX(G8:G12)</f>
        <v>15830</v>
      </c>
      <c r="H14" s="197" t="n">
        <f aca="false">MAX(H8:H12)</f>
        <v>0</v>
      </c>
      <c r="I14" s="197" t="n">
        <f aca="false">MAX(I8:I12)</f>
        <v>107</v>
      </c>
      <c r="J14" s="197" t="n">
        <f aca="false">MAX(J8:J12)</f>
        <v>7155</v>
      </c>
      <c r="K14" s="197" t="n">
        <f aca="false">MAX(K8:K12)</f>
        <v>124430.15803026</v>
      </c>
      <c r="L14" s="197" t="n">
        <f aca="false">MAX(L8:L12)</f>
        <v>114552</v>
      </c>
      <c r="M14" s="197" t="n">
        <f aca="false">MAX(M8:M12)</f>
        <v>124179</v>
      </c>
      <c r="N14" s="197" t="n">
        <f aca="false">MAX(N8:N12)</f>
        <v>16433</v>
      </c>
      <c r="O14" s="197" t="n">
        <f aca="false">MAX(O8:O12)</f>
        <v>18332.3544759639</v>
      </c>
      <c r="P14" s="198" t="n">
        <f aca="false">MAX(P8:P12)</f>
        <v>3.14</v>
      </c>
      <c r="Q14" s="198" t="n">
        <f aca="false">MAX(Q8:Q12)</f>
        <v>3.87</v>
      </c>
      <c r="R14" s="199" t="n">
        <f aca="false">MAX(R8:R12)</f>
        <v>0.218307711078575</v>
      </c>
      <c r="S14" s="199" t="n">
        <f aca="false">MAX(S8:S12)</f>
        <v>0.387628111273792</v>
      </c>
      <c r="T14" s="200" t="n">
        <f aca="false">MAX(T8:T12)</f>
        <v>0.458985866051523</v>
      </c>
    </row>
    <row r="15" customFormat="false" ht="15" hidden="false" customHeight="false" outlineLevel="0" collapsed="false">
      <c r="B15" s="201" t="s">
        <v>199</v>
      </c>
      <c r="C15" s="158" t="n">
        <f aca="false">QUARTILE(C8:C12,3)</f>
        <v>22.47</v>
      </c>
      <c r="D15" s="158"/>
      <c r="E15" s="190" t="n">
        <f aca="false">QUARTILE(E8:E12,3)</f>
        <v>114779.15803026</v>
      </c>
      <c r="F15" s="190" t="n">
        <f aca="false">QUARTILE(F8:F12,3)</f>
        <v>17307</v>
      </c>
      <c r="G15" s="190" t="n">
        <f aca="false">QUARTILE(G8:G12,3)</f>
        <v>10273</v>
      </c>
      <c r="H15" s="190" t="n">
        <f aca="false">QUARTILE(H8:H12,3)</f>
        <v>0</v>
      </c>
      <c r="I15" s="190" t="n">
        <f aca="false">QUARTILE(I8:I12,3)</f>
        <v>24</v>
      </c>
      <c r="J15" s="190" t="n">
        <f aca="false">QUARTILE(J8:J12,3)</f>
        <v>645</v>
      </c>
      <c r="K15" s="190" t="n">
        <f aca="false">QUARTILE(K8:K12,3)</f>
        <v>106671.04050009</v>
      </c>
      <c r="L15" s="190" t="n">
        <f aca="false">QUARTILE(L8:L12,3)</f>
        <v>51430</v>
      </c>
      <c r="M15" s="190" t="n">
        <f aca="false">QUARTILE(M8:M12,3)</f>
        <v>55380</v>
      </c>
      <c r="N15" s="190" t="n">
        <f aca="false">QUARTILE(N8:N12,3)</f>
        <v>12708</v>
      </c>
      <c r="O15" s="190" t="n">
        <f aca="false">QUARTILE(O8:O12,3)</f>
        <v>18186</v>
      </c>
      <c r="P15" s="158" t="n">
        <f aca="false">QUARTILE(P8:P12,3)</f>
        <v>0.974280361096917</v>
      </c>
      <c r="Q15" s="158" t="n">
        <f aca="false">QUARTILE(Q8:Q12,3)</f>
        <v>1.38</v>
      </c>
      <c r="R15" s="202" t="n">
        <f aca="false">QUARTILE(R8:R12,3)</f>
        <v>0.182606946878501</v>
      </c>
      <c r="S15" s="202" t="n">
        <f aca="false">QUARTILE(S8:S12,3)</f>
        <v>0.289482000746976</v>
      </c>
      <c r="T15" s="203" t="n">
        <f aca="false">QUARTILE(T8:T12,3)</f>
        <v>0.310327235624226</v>
      </c>
    </row>
    <row r="16" customFormat="false" ht="15" hidden="false" customHeight="false" outlineLevel="0" collapsed="false">
      <c r="B16" s="204" t="s">
        <v>150</v>
      </c>
      <c r="C16" s="205" t="n">
        <f aca="false">MEDIAN(C8:C12)</f>
        <v>19.4</v>
      </c>
      <c r="D16" s="205"/>
      <c r="E16" s="206" t="n">
        <f aca="false">MEDIAN(E8:E12)</f>
        <v>107224.379</v>
      </c>
      <c r="F16" s="206" t="n">
        <f aca="false">MEDIAN(F8:F12)</f>
        <v>13954</v>
      </c>
      <c r="G16" s="206" t="n">
        <f aca="false">MEDIAN(G8:G12)</f>
        <v>3925</v>
      </c>
      <c r="H16" s="206" t="n">
        <f aca="false">MEDIAN(H8:H12)</f>
        <v>0</v>
      </c>
      <c r="I16" s="206" t="n">
        <f aca="false">MEDIAN(I8:I12)</f>
        <v>0</v>
      </c>
      <c r="J16" s="206" t="n">
        <f aca="false">MEDIAN(J8:J12)</f>
        <v>0</v>
      </c>
      <c r="K16" s="206" t="n">
        <f aca="false">MEDIAN(K8:K12)</f>
        <v>92786.379</v>
      </c>
      <c r="L16" s="206" t="n">
        <f aca="false">MEDIAN(L8:L12)</f>
        <v>34807</v>
      </c>
      <c r="M16" s="206" t="n">
        <f aca="false">MEDIAN(M8:M12)</f>
        <v>41163</v>
      </c>
      <c r="N16" s="206" t="n">
        <f aca="false">MEDIAN(N8:N12)</f>
        <v>10076</v>
      </c>
      <c r="O16" s="206" t="n">
        <f aca="false">MEDIAN(O8:O12)</f>
        <v>12774</v>
      </c>
      <c r="P16" s="205" t="n">
        <f aca="false">MEDIAN(P8:P12)</f>
        <v>0.786115364982134</v>
      </c>
      <c r="Q16" s="205" t="n">
        <f aca="false">MEDIAN(Q8:Q12)</f>
        <v>1.18</v>
      </c>
      <c r="R16" s="207" t="n">
        <f aca="false">MEDIAN(R8:R12)</f>
        <v>0.0840404357846218</v>
      </c>
      <c r="S16" s="207" t="n">
        <f aca="false">MEDIAN(S8:S12)</f>
        <v>0.143454501012641</v>
      </c>
      <c r="T16" s="208" t="n">
        <f aca="false">MEDIAN(T8:T12)</f>
        <v>0.14644988283043</v>
      </c>
    </row>
    <row r="17" customFormat="false" ht="15" hidden="false" customHeight="false" outlineLevel="0" collapsed="false">
      <c r="B17" s="201" t="s">
        <v>200</v>
      </c>
      <c r="C17" s="158" t="n">
        <f aca="false">QUARTILE(C8:C12,1)</f>
        <v>12.9</v>
      </c>
      <c r="D17" s="158"/>
      <c r="E17" s="190" t="n">
        <f aca="false">QUARTILE(E8:E12,1)</f>
        <v>25240.8670311</v>
      </c>
      <c r="F17" s="190" t="n">
        <f aca="false">QUARTILE(F8:F12,1)</f>
        <v>13334</v>
      </c>
      <c r="G17" s="190" t="n">
        <f aca="false">QUARTILE(G8:G12,1)</f>
        <v>3793</v>
      </c>
      <c r="H17" s="190" t="n">
        <f aca="false">QUARTILE(H8:H12,1)</f>
        <v>0</v>
      </c>
      <c r="I17" s="190" t="n">
        <f aca="false">QUARTILE(I8:I12,1)</f>
        <v>0</v>
      </c>
      <c r="J17" s="190" t="n">
        <f aca="false">QUARTILE(J8:J12,1)</f>
        <v>0</v>
      </c>
      <c r="K17" s="190" t="n">
        <f aca="false">QUARTILE(K8:K12,1)</f>
        <v>15079.8670311</v>
      </c>
      <c r="L17" s="190" t="n">
        <f aca="false">QUARTILE(L8:L12,1)</f>
        <v>32784</v>
      </c>
      <c r="M17" s="190" t="n">
        <f aca="false">QUARTILE(M8:M12,1)</f>
        <v>39941</v>
      </c>
      <c r="N17" s="190" t="n">
        <f aca="false">QUARTILE(N8:N12,1)</f>
        <v>3426</v>
      </c>
      <c r="O17" s="190" t="n">
        <f aca="false">QUARTILE(O8:O12,1)</f>
        <v>4129</v>
      </c>
      <c r="P17" s="158" t="n">
        <f aca="false">QUARTILE(P8:P12,1)</f>
        <v>0.41130604288499</v>
      </c>
      <c r="Q17" s="158" t="n">
        <f aca="false">QUARTILE(Q8:Q12,1)</f>
        <v>1.1675</v>
      </c>
      <c r="R17" s="202" t="n">
        <f aca="false">QUARTILE(R8:R12,1)</f>
        <v>0.0768034221271632</v>
      </c>
      <c r="S17" s="202" t="n">
        <f aca="false">QUARTILE(S8:S12,1)</f>
        <v>0.066614816255104</v>
      </c>
      <c r="T17" s="203" t="n">
        <f aca="false">QUARTILE(T8:T12,1)</f>
        <v>0.0873685165034458</v>
      </c>
    </row>
    <row r="18" customFormat="false" ht="15" hidden="false" customHeight="false" outlineLevel="0" collapsed="false">
      <c r="B18" s="209" t="s">
        <v>148</v>
      </c>
      <c r="C18" s="210" t="n">
        <f aca="false">MIN(C8:C12)</f>
        <v>6.15</v>
      </c>
      <c r="D18" s="210"/>
      <c r="E18" s="211" t="n">
        <f aca="false">MIN(E8:E12)</f>
        <v>14239.39694185</v>
      </c>
      <c r="F18" s="211" t="n">
        <f aca="false">MIN(F8:F12)</f>
        <v>7606</v>
      </c>
      <c r="G18" s="211" t="n">
        <f aca="false">MIN(G8:G12)</f>
        <v>2224</v>
      </c>
      <c r="H18" s="211" t="n">
        <f aca="false">MIN(H8:H12)</f>
        <v>0</v>
      </c>
      <c r="I18" s="211" t="n">
        <f aca="false">MIN(I8:I12)</f>
        <v>0</v>
      </c>
      <c r="J18" s="211" t="n">
        <f aca="false">MIN(J8:J12)</f>
        <v>0</v>
      </c>
      <c r="K18" s="211" t="n">
        <f aca="false">MIN(K8:K12)</f>
        <v>10665.39694185</v>
      </c>
      <c r="L18" s="211" t="n">
        <f aca="false">MIN(L8:L12)</f>
        <v>23457</v>
      </c>
      <c r="M18" s="211" t="n">
        <f aca="false">MIN(M8:M12)</f>
        <v>22056</v>
      </c>
      <c r="N18" s="211" t="n">
        <f aca="false">MIN(N8:N12)</f>
        <v>926</v>
      </c>
      <c r="O18" s="211" t="n">
        <f aca="false">MIN(O8:O12)</f>
        <v>1927</v>
      </c>
      <c r="P18" s="210" t="n">
        <f aca="false">MIN(P8:P12)</f>
        <v>-1.69853326348874</v>
      </c>
      <c r="Q18" s="210" t="n">
        <f aca="false">MIN(Q8:Q12)</f>
        <v>0.137974683544304</v>
      </c>
      <c r="R18" s="212" t="n">
        <f aca="false">MIN(R8:R12)</f>
        <v>-0.0597263077119836</v>
      </c>
      <c r="S18" s="212" t="n">
        <f aca="false">MIN(S8:S12)</f>
        <v>0.0394764888945731</v>
      </c>
      <c r="T18" s="213" t="n">
        <f aca="false">MIN(T8:T12)</f>
        <v>0.0745576020223908</v>
      </c>
    </row>
    <row r="19" customFormat="false" ht="15" hidden="false" customHeight="false" outlineLevel="0" collapsed="false"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</row>
    <row r="20" customFormat="false" ht="15" hidden="false" customHeight="false" outlineLevel="0" collapsed="false">
      <c r="B20" s="214" t="str">
        <f aca="false">Company_Name</f>
        <v>Apple Inc.</v>
      </c>
      <c r="C20" s="215" t="n">
        <f aca="false">Share_Price</f>
        <v>192.06</v>
      </c>
      <c r="D20" s="216" t="n">
        <f aca="false">Diluted_Shares</f>
        <v>920525.623630012</v>
      </c>
      <c r="E20" s="217" t="n">
        <f aca="false">C20/Units*D20</f>
        <v>176796.15127438</v>
      </c>
      <c r="F20" s="218" t="n">
        <f aca="false">'AAPL-3-Statements'!E15</f>
        <v>35395</v>
      </c>
      <c r="G20" s="218" t="n">
        <f aca="false">'AAPL-3-Statements'!E16</f>
        <v>0</v>
      </c>
      <c r="H20" s="218" t="n">
        <f aca="false">'AAPL-3-Statements'!E18</f>
        <v>0</v>
      </c>
      <c r="I20" s="218" t="n">
        <f aca="false">'AAPL-3-Statements'!E17</f>
        <v>0</v>
      </c>
      <c r="J20" s="218" t="n">
        <f aca="false">'AAPL-3-Statements'!E19</f>
        <v>0</v>
      </c>
      <c r="K20" s="217" t="n">
        <f aca="false">E20-F20+G20+H20+I20+J20</f>
        <v>141401.15127438</v>
      </c>
      <c r="L20" s="218" t="n">
        <f aca="false">'AAPL-3-Statements'!H66</f>
        <v>42905</v>
      </c>
      <c r="M20" s="217" t="n">
        <f aca="false">'AAPL-3-Statements'!I66</f>
        <v>53631.25</v>
      </c>
      <c r="N20" s="218" t="n">
        <f aca="false">'AAPL-3-Statements'!H91</f>
        <v>13184</v>
      </c>
      <c r="O20" s="218" t="n">
        <f aca="false">'AAPL-3-Statements'!I91</f>
        <v>16480</v>
      </c>
      <c r="P20" s="219" t="n">
        <f aca="false">'AAPL-3-Statements'!H87</f>
        <v>9.07933252848661</v>
      </c>
      <c r="Q20" s="215" t="n">
        <f aca="false">'AAPL-3-Statements'!I87</f>
        <v>11.5875629642752</v>
      </c>
      <c r="R20" s="220" t="n">
        <f aca="false">M20/L20-1</f>
        <v>0.25</v>
      </c>
      <c r="S20" s="220" t="n">
        <f aca="false">N20/L20</f>
        <v>0.307283533387717</v>
      </c>
      <c r="T20" s="221" t="n">
        <f aca="false">O20/M20</f>
        <v>0.307283533387717</v>
      </c>
    </row>
    <row r="21" customFormat="false" ht="15" hidden="false" customHeight="false" outlineLevel="0" collapsed="false"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</row>
    <row r="22" customFormat="false" ht="15" hidden="false" customHeight="false" outlineLevel="0" collapsed="false">
      <c r="B22" s="135" t="s">
        <v>201</v>
      </c>
      <c r="C22" s="176"/>
      <c r="D22" s="176"/>
      <c r="E22" s="177" t="s">
        <v>172</v>
      </c>
      <c r="F22" s="177"/>
      <c r="G22" s="177"/>
      <c r="H22" s="177"/>
      <c r="I22" s="177"/>
      <c r="J22" s="177"/>
      <c r="K22" s="177"/>
      <c r="L22" s="177" t="s">
        <v>202</v>
      </c>
      <c r="M22" s="177"/>
      <c r="N22" s="177" t="s">
        <v>202</v>
      </c>
      <c r="O22" s="177"/>
      <c r="P22" s="178"/>
      <c r="Q22" s="222"/>
      <c r="R22" s="174"/>
      <c r="S22" s="174"/>
      <c r="T22" s="174"/>
    </row>
    <row r="23" customFormat="false" ht="15" hidden="false" customHeight="false" outlineLevel="0" collapsed="false">
      <c r="B23" s="138"/>
      <c r="C23" s="139" t="s">
        <v>174</v>
      </c>
      <c r="D23" s="139"/>
      <c r="E23" s="139" t="s">
        <v>176</v>
      </c>
      <c r="F23" s="139"/>
      <c r="G23" s="139"/>
      <c r="H23" s="139"/>
      <c r="I23" s="139"/>
      <c r="J23" s="139"/>
      <c r="K23" s="139" t="s">
        <v>180</v>
      </c>
      <c r="L23" s="140" t="s">
        <v>181</v>
      </c>
      <c r="M23" s="140"/>
      <c r="N23" s="140" t="s">
        <v>182</v>
      </c>
      <c r="O23" s="140"/>
      <c r="P23" s="142" t="s">
        <v>203</v>
      </c>
      <c r="Q23" s="142"/>
      <c r="R23" s="223"/>
      <c r="S23" s="223"/>
      <c r="T23" s="223"/>
    </row>
    <row r="24" customFormat="false" ht="15" hidden="false" customHeight="false" outlineLevel="0" collapsed="false">
      <c r="B24" s="144" t="s">
        <v>185</v>
      </c>
      <c r="C24" s="145" t="s">
        <v>20</v>
      </c>
      <c r="D24" s="145"/>
      <c r="E24" s="145" t="s">
        <v>187</v>
      </c>
      <c r="F24" s="145"/>
      <c r="G24" s="145"/>
      <c r="H24" s="145"/>
      <c r="I24" s="145"/>
      <c r="J24" s="145"/>
      <c r="K24" s="145" t="s">
        <v>187</v>
      </c>
      <c r="L24" s="181" t="n">
        <f aca="false">L7</f>
        <v>2009</v>
      </c>
      <c r="M24" s="181" t="str">
        <f aca="false">M7</f>
        <v>2010E</v>
      </c>
      <c r="N24" s="181" t="n">
        <f aca="false">N7</f>
        <v>2009</v>
      </c>
      <c r="O24" s="181" t="str">
        <f aca="false">O7</f>
        <v>2010E</v>
      </c>
      <c r="P24" s="181" t="n">
        <f aca="false">P7</f>
        <v>2009</v>
      </c>
      <c r="Q24" s="182" t="str">
        <f aca="false">Q7</f>
        <v>2010E</v>
      </c>
      <c r="R24" s="224"/>
      <c r="S24" s="224"/>
      <c r="T24" s="224"/>
    </row>
    <row r="25" customFormat="false" ht="15" hidden="false" customHeight="false" outlineLevel="0" collapsed="false">
      <c r="B25" s="174" t="str">
        <f aca="false">B8</f>
        <v>Hewlett-Packard Company</v>
      </c>
      <c r="C25" s="155" t="n">
        <f aca="false">C8</f>
        <v>47.07</v>
      </c>
      <c r="D25" s="155"/>
      <c r="E25" s="175" t="n">
        <f aca="false">E8</f>
        <v>114779.15803026</v>
      </c>
      <c r="F25" s="175"/>
      <c r="G25" s="175"/>
      <c r="H25" s="175"/>
      <c r="I25" s="175"/>
      <c r="J25" s="175"/>
      <c r="K25" s="175" t="n">
        <f aca="false">K8</f>
        <v>124430.15803026</v>
      </c>
      <c r="L25" s="225" t="n">
        <f aca="false">IF($K25/L8&gt;0,$K25/L8,"NM")</f>
        <v>1.08623295996805</v>
      </c>
      <c r="M25" s="225" t="n">
        <f aca="false">IF($K25/M8&gt;0,$K25/M8,"NM")</f>
        <v>1.00202254833957</v>
      </c>
      <c r="N25" s="225" t="n">
        <f aca="false">IF($K25/N8&gt;0,$K25/N8,"NM")</f>
        <v>7.57196847990385</v>
      </c>
      <c r="O25" s="225" t="n">
        <f aca="false">IF($K25/O8&gt;0,$K25/O8,"NM")</f>
        <v>6.84208501211152</v>
      </c>
      <c r="P25" s="225" t="n">
        <f aca="false">IF($C25/P8&gt;0,$C25/P8,"NM")</f>
        <v>14.9904458598726</v>
      </c>
      <c r="Q25" s="225" t="n">
        <f aca="false">IF($C25/Q8&gt;0,$C25/Q8,"NM")</f>
        <v>12.1627906976744</v>
      </c>
      <c r="R25" s="174"/>
      <c r="S25" s="174"/>
      <c r="T25" s="174"/>
    </row>
    <row r="26" customFormat="false" ht="15" hidden="false" customHeight="false" outlineLevel="0" collapsed="false">
      <c r="B26" s="174" t="str">
        <f aca="false">B9</f>
        <v>Dell Inc.</v>
      </c>
      <c r="C26" s="158" t="n">
        <f aca="false">C9</f>
        <v>12.9</v>
      </c>
      <c r="D26" s="155"/>
      <c r="E26" s="190" t="n">
        <f aca="false">E9</f>
        <v>25240.8670311</v>
      </c>
      <c r="F26" s="175"/>
      <c r="G26" s="175"/>
      <c r="H26" s="175"/>
      <c r="I26" s="175"/>
      <c r="J26" s="175"/>
      <c r="K26" s="190" t="n">
        <f aca="false">K9</f>
        <v>15079.8670311</v>
      </c>
      <c r="L26" s="225" t="n">
        <f aca="false">IF($K26/L9&gt;0,$K26/L9,"NM")</f>
        <v>0.293211491952168</v>
      </c>
      <c r="M26" s="225" t="n">
        <f aca="false">IF($K26/M9&gt;0,$K26/M9,"NM")</f>
        <v>0.272298068456121</v>
      </c>
      <c r="N26" s="225" t="n">
        <f aca="false">IF($K26/N9&gt;0,$K26/N9,"NM")</f>
        <v>4.40159574754816</v>
      </c>
      <c r="O26" s="225" t="n">
        <f aca="false">IF($K26/O9&gt;0,$K26/O9,"NM")</f>
        <v>3.6521838292807</v>
      </c>
      <c r="P26" s="225" t="n">
        <f aca="false">IF($C26/P9&gt;0,$C26/P9,"NM")</f>
        <v>16.4098051948052</v>
      </c>
      <c r="Q26" s="225" t="n">
        <f aca="false">IF($C26/Q9&gt;0,$C26/Q9,"NM")</f>
        <v>10.9322033898305</v>
      </c>
      <c r="R26" s="174"/>
      <c r="S26" s="174"/>
      <c r="T26" s="174"/>
    </row>
    <row r="27" customFormat="false" ht="15" hidden="false" customHeight="false" outlineLevel="0" collapsed="false">
      <c r="B27" s="174" t="str">
        <f aca="false">B10</f>
        <v>Cisco Systems, Inc.</v>
      </c>
      <c r="C27" s="158" t="n">
        <f aca="false">C10</f>
        <v>22.47</v>
      </c>
      <c r="D27" s="155"/>
      <c r="E27" s="190" t="n">
        <f aca="false">E10</f>
        <v>131739.04050009</v>
      </c>
      <c r="F27" s="175"/>
      <c r="G27" s="175"/>
      <c r="H27" s="175"/>
      <c r="I27" s="175"/>
      <c r="J27" s="175"/>
      <c r="K27" s="190" t="n">
        <f aca="false">K10</f>
        <v>106671.04050009</v>
      </c>
      <c r="L27" s="225" t="n">
        <f aca="false">IF($K27/L10&gt;0,$K27/L10,"NM")</f>
        <v>3.06464333324015</v>
      </c>
      <c r="M27" s="225" t="n">
        <f aca="false">IF($K27/M10&gt;0,$K27/M10,"NM")</f>
        <v>2.59143018001822</v>
      </c>
      <c r="N27" s="225" t="n">
        <f aca="false">IF($K27/N10&gt;0,$K27/N10,"NM")</f>
        <v>10.5866455438755</v>
      </c>
      <c r="O27" s="225" t="n">
        <f aca="false">IF($K27/O10&gt;0,$K27/O10,"NM")</f>
        <v>8.3506372710263</v>
      </c>
      <c r="P27" s="225" t="n">
        <f aca="false">IF($C27/P10&gt;0,$C27/P10,"NM")</f>
        <v>23.0631765734266</v>
      </c>
      <c r="Q27" s="225" t="n">
        <f aca="false">IF($C27/Q10&gt;0,$C27/Q10,"NM")</f>
        <v>16.2826086956522</v>
      </c>
      <c r="R27" s="174"/>
      <c r="S27" s="174"/>
      <c r="T27" s="174"/>
    </row>
    <row r="28" customFormat="false" ht="15" hidden="false" customHeight="false" outlineLevel="0" collapsed="false">
      <c r="B28" s="174" t="str">
        <f aca="false">B11</f>
        <v>Intel Corporation</v>
      </c>
      <c r="C28" s="158" t="n">
        <f aca="false">C11</f>
        <v>19.4</v>
      </c>
      <c r="D28" s="155"/>
      <c r="E28" s="190" t="n">
        <f aca="false">E11</f>
        <v>107224.379</v>
      </c>
      <c r="F28" s="175"/>
      <c r="G28" s="175"/>
      <c r="H28" s="175"/>
      <c r="I28" s="175"/>
      <c r="J28" s="175"/>
      <c r="K28" s="190" t="n">
        <f aca="false">K11</f>
        <v>92786.379</v>
      </c>
      <c r="L28" s="225" t="n">
        <f aca="false">IF($K28/L11&gt;0,$K28/L11,"NM")</f>
        <v>2.83023362005856</v>
      </c>
      <c r="M28" s="225" t="n">
        <f aca="false">IF($K28/M11&gt;0,$K28/M11,"NM")</f>
        <v>2.32308602688966</v>
      </c>
      <c r="N28" s="225" t="n">
        <f aca="false">IF($K28/N11&gt;0,$K28/N11,"NM")</f>
        <v>7.30141477809254</v>
      </c>
      <c r="O28" s="225" t="n">
        <f aca="false">IF($K28/O11&gt;0,$K28/O11,"NM")</f>
        <v>5.0613454546526</v>
      </c>
      <c r="P28" s="225" t="n">
        <f aca="false">IF($C28/P11&gt;0,$C28/P11,"NM")</f>
        <v>47.1668246445498</v>
      </c>
      <c r="Q28" s="225" t="n">
        <f aca="false">IF($C28/Q11&gt;0,$C28/Q11,"NM")</f>
        <v>16.6167023554604</v>
      </c>
      <c r="R28" s="174"/>
      <c r="S28" s="174"/>
      <c r="T28" s="174"/>
    </row>
    <row r="29" customFormat="false" ht="15" hidden="false" customHeight="false" outlineLevel="0" collapsed="false">
      <c r="B29" s="174" t="str">
        <f aca="false">B12</f>
        <v>Motorola, Inc.</v>
      </c>
      <c r="C29" s="158" t="n">
        <f aca="false">C12</f>
        <v>6.15</v>
      </c>
      <c r="D29" s="155"/>
      <c r="E29" s="190" t="n">
        <f aca="false">E12</f>
        <v>14239.39694185</v>
      </c>
      <c r="F29" s="175"/>
      <c r="G29" s="175"/>
      <c r="H29" s="175"/>
      <c r="I29" s="175"/>
      <c r="J29" s="175"/>
      <c r="K29" s="190" t="n">
        <f aca="false">K12</f>
        <v>10665.39694185</v>
      </c>
      <c r="L29" s="225" t="n">
        <f aca="false">IF($K29/L12&gt;0,$K29/L12,"NM")</f>
        <v>0.454678643554163</v>
      </c>
      <c r="M29" s="225" t="n">
        <f aca="false">IF($K29/M12&gt;0,$K29/M12,"NM")</f>
        <v>0.483559890363166</v>
      </c>
      <c r="N29" s="225" t="n">
        <f aca="false">IF($K29/N12&gt;0,$K29/N12,"NM")</f>
        <v>11.5177072806155</v>
      </c>
      <c r="O29" s="225" t="n">
        <f aca="false">IF($K29/O12&gt;0,$K29/O12,"NM")</f>
        <v>5.53471558995848</v>
      </c>
      <c r="P29" s="225" t="str">
        <f aca="false">IF($C29/P12&gt;0,$C29/P12,"NM")</f>
        <v>NM</v>
      </c>
      <c r="Q29" s="225" t="n">
        <f aca="false">IF($C29/Q12&gt;0,$C29/Q12,"NM")</f>
        <v>44.5733944954128</v>
      </c>
      <c r="R29" s="174"/>
      <c r="S29" s="174"/>
      <c r="T29" s="174"/>
    </row>
    <row r="30" customFormat="false" ht="15" hidden="false" customHeight="false" outlineLevel="0" collapsed="false"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</row>
    <row r="31" customFormat="false" ht="15" hidden="false" customHeight="false" outlineLevel="0" collapsed="false">
      <c r="B31" s="195" t="s">
        <v>151</v>
      </c>
      <c r="C31" s="196" t="n">
        <f aca="false">MAX(C25:C29)</f>
        <v>47.07</v>
      </c>
      <c r="D31" s="196"/>
      <c r="E31" s="197" t="n">
        <f aca="false">MAX(E25:E29)</f>
        <v>131739.04050009</v>
      </c>
      <c r="F31" s="197" t="n">
        <f aca="false">MAX(F25:F29)</f>
        <v>0</v>
      </c>
      <c r="G31" s="197" t="n">
        <f aca="false">MAX(G25:G29)</f>
        <v>0</v>
      </c>
      <c r="H31" s="197" t="n">
        <f aca="false">MAX(H25:H29)</f>
        <v>0</v>
      </c>
      <c r="I31" s="197" t="n">
        <f aca="false">MAX(I25:I29)</f>
        <v>0</v>
      </c>
      <c r="J31" s="197" t="n">
        <f aca="false">MAX(J25:J29)</f>
        <v>0</v>
      </c>
      <c r="K31" s="197" t="n">
        <f aca="false">MAX(K25:K29)</f>
        <v>124430.15803026</v>
      </c>
      <c r="L31" s="226" t="n">
        <f aca="false">MAX(L25:L29)</f>
        <v>3.06464333324015</v>
      </c>
      <c r="M31" s="226" t="n">
        <f aca="false">MAX(M25:M29)</f>
        <v>2.59143018001822</v>
      </c>
      <c r="N31" s="226" t="n">
        <f aca="false">MAX(N25:N29)</f>
        <v>11.5177072806155</v>
      </c>
      <c r="O31" s="226" t="n">
        <f aca="false">MAX(O25:O29)</f>
        <v>8.3506372710263</v>
      </c>
      <c r="P31" s="226" t="n">
        <f aca="false">MAX(P25:P29)</f>
        <v>47.1668246445498</v>
      </c>
      <c r="Q31" s="227" t="n">
        <f aca="false">MAX(Q25:Q29)</f>
        <v>44.5733944954128</v>
      </c>
      <c r="R31" s="174"/>
      <c r="S31" s="174"/>
      <c r="T31" s="174"/>
    </row>
    <row r="32" customFormat="false" ht="15" hidden="false" customHeight="false" outlineLevel="0" collapsed="false">
      <c r="B32" s="201" t="s">
        <v>199</v>
      </c>
      <c r="C32" s="158" t="n">
        <f aca="false">QUARTILE(C25:C29,3)</f>
        <v>22.47</v>
      </c>
      <c r="D32" s="158"/>
      <c r="E32" s="190" t="n">
        <f aca="false">QUARTILE(E25:E29,3)</f>
        <v>114779.15803026</v>
      </c>
      <c r="F32" s="190" t="e">
        <f aca="false">QUARTILE(F25:F29,3)</f>
        <v>#VALUE!</v>
      </c>
      <c r="G32" s="190" t="e">
        <f aca="false">QUARTILE(G25:G29,3)</f>
        <v>#VALUE!</v>
      </c>
      <c r="H32" s="190" t="e">
        <f aca="false">QUARTILE(H25:H29,3)</f>
        <v>#VALUE!</v>
      </c>
      <c r="I32" s="190" t="e">
        <f aca="false">QUARTILE(I25:I29,3)</f>
        <v>#VALUE!</v>
      </c>
      <c r="J32" s="190" t="e">
        <f aca="false">QUARTILE(J25:J29,3)</f>
        <v>#VALUE!</v>
      </c>
      <c r="K32" s="190" t="n">
        <f aca="false">QUARTILE(K25:K29,3)</f>
        <v>106671.04050009</v>
      </c>
      <c r="L32" s="42" t="n">
        <f aca="false">QUARTILE(L25:L29,3)</f>
        <v>2.83023362005856</v>
      </c>
      <c r="M32" s="42" t="n">
        <f aca="false">QUARTILE(M25:M29,3)</f>
        <v>2.32308602688966</v>
      </c>
      <c r="N32" s="42" t="n">
        <f aca="false">QUARTILE(N25:N29,3)</f>
        <v>10.5866455438755</v>
      </c>
      <c r="O32" s="42" t="n">
        <f aca="false">QUARTILE(O25:O29,3)</f>
        <v>6.84208501211152</v>
      </c>
      <c r="P32" s="42" t="n">
        <f aca="false">QUARTILE(P25:P29,3)</f>
        <v>29.0890885912074</v>
      </c>
      <c r="Q32" s="43" t="n">
        <f aca="false">QUARTILE(Q25:Q29,3)</f>
        <v>16.6167023554604</v>
      </c>
      <c r="R32" s="174"/>
      <c r="S32" s="174"/>
      <c r="T32" s="174"/>
    </row>
    <row r="33" customFormat="false" ht="15" hidden="false" customHeight="false" outlineLevel="0" collapsed="false">
      <c r="B33" s="204" t="s">
        <v>150</v>
      </c>
      <c r="C33" s="205" t="n">
        <f aca="false">MEDIAN(C25:C29)</f>
        <v>19.4</v>
      </c>
      <c r="D33" s="205"/>
      <c r="E33" s="206" t="n">
        <f aca="false">MEDIAN(E25:E29)</f>
        <v>107224.379</v>
      </c>
      <c r="F33" s="206" t="e">
        <f aca="false">MEDIAN(F25:F29)</f>
        <v>#VALUE!</v>
      </c>
      <c r="G33" s="206" t="e">
        <f aca="false">MEDIAN(G25:G29)</f>
        <v>#VALUE!</v>
      </c>
      <c r="H33" s="206" t="e">
        <f aca="false">MEDIAN(H25:H29)</f>
        <v>#VALUE!</v>
      </c>
      <c r="I33" s="206" t="e">
        <f aca="false">MEDIAN(I25:I29)</f>
        <v>#VALUE!</v>
      </c>
      <c r="J33" s="206" t="e">
        <f aca="false">MEDIAN(J25:J29)</f>
        <v>#VALUE!</v>
      </c>
      <c r="K33" s="206" t="n">
        <f aca="false">MEDIAN(K25:K29)</f>
        <v>92786.379</v>
      </c>
      <c r="L33" s="228" t="n">
        <f aca="false">MEDIAN(L25:L29)</f>
        <v>1.08623295996805</v>
      </c>
      <c r="M33" s="228" t="n">
        <f aca="false">MEDIAN(M25:M29)</f>
        <v>1.00202254833957</v>
      </c>
      <c r="N33" s="228" t="n">
        <f aca="false">MEDIAN(N25:N29)</f>
        <v>7.57196847990385</v>
      </c>
      <c r="O33" s="228" t="n">
        <f aca="false">MEDIAN(O25:O29)</f>
        <v>5.53471558995848</v>
      </c>
      <c r="P33" s="228" t="n">
        <f aca="false">MEDIAN(P25:P29)</f>
        <v>19.7364908841159</v>
      </c>
      <c r="Q33" s="229" t="n">
        <f aca="false">MEDIAN(Q25:Q29)</f>
        <v>16.2826086956522</v>
      </c>
      <c r="R33" s="174"/>
      <c r="S33" s="174"/>
      <c r="T33" s="174"/>
    </row>
    <row r="34" customFormat="false" ht="15" hidden="false" customHeight="false" outlineLevel="0" collapsed="false">
      <c r="B34" s="201" t="s">
        <v>200</v>
      </c>
      <c r="C34" s="158" t="n">
        <f aca="false">QUARTILE(C25:C29,1)</f>
        <v>12.9</v>
      </c>
      <c r="D34" s="158"/>
      <c r="E34" s="190" t="n">
        <f aca="false">QUARTILE(E25:E29,1)</f>
        <v>25240.8670311</v>
      </c>
      <c r="F34" s="190" t="e">
        <f aca="false">QUARTILE(F25:F29,1)</f>
        <v>#VALUE!</v>
      </c>
      <c r="G34" s="190" t="e">
        <f aca="false">QUARTILE(G25:G29,1)</f>
        <v>#VALUE!</v>
      </c>
      <c r="H34" s="190" t="e">
        <f aca="false">QUARTILE(H25:H29,1)</f>
        <v>#VALUE!</v>
      </c>
      <c r="I34" s="190" t="e">
        <f aca="false">QUARTILE(I25:I29,1)</f>
        <v>#VALUE!</v>
      </c>
      <c r="J34" s="190" t="e">
        <f aca="false">QUARTILE(J25:J29,1)</f>
        <v>#VALUE!</v>
      </c>
      <c r="K34" s="190" t="n">
        <f aca="false">QUARTILE(K25:K29,1)</f>
        <v>15079.8670311</v>
      </c>
      <c r="L34" s="42" t="n">
        <f aca="false">QUARTILE(L25:L29,1)</f>
        <v>0.454678643554163</v>
      </c>
      <c r="M34" s="42" t="n">
        <f aca="false">QUARTILE(M25:M29,1)</f>
        <v>0.483559890363166</v>
      </c>
      <c r="N34" s="42" t="n">
        <f aca="false">QUARTILE(N25:N29,1)</f>
        <v>7.30141477809254</v>
      </c>
      <c r="O34" s="42" t="n">
        <f aca="false">QUARTILE(O25:O29,1)</f>
        <v>5.0613454546526</v>
      </c>
      <c r="P34" s="42" t="n">
        <f aca="false">QUARTILE(P25:P29,1)</f>
        <v>16.0549653610721</v>
      </c>
      <c r="Q34" s="43" t="n">
        <f aca="false">QUARTILE(Q25:Q29,1)</f>
        <v>12.1627906976744</v>
      </c>
      <c r="R34" s="174"/>
      <c r="S34" s="174"/>
      <c r="T34" s="174"/>
    </row>
    <row r="35" customFormat="false" ht="15" hidden="false" customHeight="false" outlineLevel="0" collapsed="false">
      <c r="B35" s="209" t="s">
        <v>148</v>
      </c>
      <c r="C35" s="210" t="n">
        <f aca="false">MIN(C25:C29)</f>
        <v>6.15</v>
      </c>
      <c r="D35" s="210"/>
      <c r="E35" s="211" t="n">
        <f aca="false">MIN(E25:E29)</f>
        <v>14239.39694185</v>
      </c>
      <c r="F35" s="211" t="n">
        <f aca="false">MIN(F25:F29)</f>
        <v>0</v>
      </c>
      <c r="G35" s="211" t="n">
        <f aca="false">MIN(G25:G29)</f>
        <v>0</v>
      </c>
      <c r="H35" s="211" t="n">
        <f aca="false">MIN(H25:H29)</f>
        <v>0</v>
      </c>
      <c r="I35" s="211" t="n">
        <f aca="false">MIN(I25:I29)</f>
        <v>0</v>
      </c>
      <c r="J35" s="211" t="n">
        <f aca="false">MIN(J25:J29)</f>
        <v>0</v>
      </c>
      <c r="K35" s="211" t="n">
        <f aca="false">MIN(K25:K29)</f>
        <v>10665.39694185</v>
      </c>
      <c r="L35" s="46" t="n">
        <f aca="false">MIN(L25:L29)</f>
        <v>0.293211491952168</v>
      </c>
      <c r="M35" s="46" t="n">
        <f aca="false">MIN(M25:M29)</f>
        <v>0.272298068456121</v>
      </c>
      <c r="N35" s="46" t="n">
        <f aca="false">MIN(N25:N29)</f>
        <v>4.40159574754816</v>
      </c>
      <c r="O35" s="46" t="n">
        <f aca="false">MIN(O25:O29)</f>
        <v>3.6521838292807</v>
      </c>
      <c r="P35" s="46" t="n">
        <f aca="false">MIN(P25:P29)</f>
        <v>14.9904458598726</v>
      </c>
      <c r="Q35" s="47" t="n">
        <f aca="false">MIN(Q25:Q29)</f>
        <v>10.9322033898305</v>
      </c>
      <c r="R35" s="174"/>
      <c r="S35" s="174"/>
      <c r="T35" s="174"/>
    </row>
    <row r="36" customFormat="false" ht="15" hidden="false" customHeight="false" outlineLevel="0" collapsed="false"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</row>
    <row r="37" customFormat="false" ht="15" hidden="false" customHeight="false" outlineLevel="0" collapsed="false">
      <c r="B37" s="214" t="str">
        <f aca="false">B20</f>
        <v>Apple Inc.</v>
      </c>
      <c r="C37" s="215" t="n">
        <f aca="false">C20</f>
        <v>192.06</v>
      </c>
      <c r="D37" s="215"/>
      <c r="E37" s="217" t="n">
        <f aca="false">E20</f>
        <v>176796.15127438</v>
      </c>
      <c r="F37" s="217"/>
      <c r="G37" s="217"/>
      <c r="H37" s="217"/>
      <c r="I37" s="217"/>
      <c r="J37" s="217"/>
      <c r="K37" s="217" t="n">
        <f aca="false">K20</f>
        <v>141401.15127438</v>
      </c>
      <c r="L37" s="230" t="n">
        <f aca="false">IF($K37/L20&gt;0,$K37/L20,"NM")</f>
        <v>3.29568002037944</v>
      </c>
      <c r="M37" s="230" t="n">
        <f aca="false">IF($K37/M20&gt;0,$K37/M20,"NM")</f>
        <v>2.63654401630355</v>
      </c>
      <c r="N37" s="230" t="n">
        <f aca="false">IF($K37/N20&gt;0,$K37/N20,"NM")</f>
        <v>10.7252086828262</v>
      </c>
      <c r="O37" s="230" t="n">
        <f aca="false">IF($K37/O20&gt;0,$K37/O20,"NM")</f>
        <v>8.58016694626092</v>
      </c>
      <c r="P37" s="230" t="n">
        <f aca="false">IF($C37/P20&gt;0,$C37/P20,"NM")</f>
        <v>21.1535373770492</v>
      </c>
      <c r="Q37" s="231" t="n">
        <f aca="false">IF($C37/Q20&gt;0,$C37/Q20,"NM")</f>
        <v>16.5746672179583</v>
      </c>
      <c r="R37" s="174"/>
      <c r="S37" s="174"/>
      <c r="T37" s="174"/>
    </row>
    <row r="39" customFormat="false" ht="12.75" hidden="false" customHeight="false" outlineLevel="0" collapsed="false">
      <c r="N39" s="232"/>
    </row>
  </sheetData>
  <mergeCells count="11">
    <mergeCell ref="E5:K5"/>
    <mergeCell ref="L6:M6"/>
    <mergeCell ref="N6:O6"/>
    <mergeCell ref="P6:Q6"/>
    <mergeCell ref="S6:T6"/>
    <mergeCell ref="E22:K22"/>
    <mergeCell ref="L22:M22"/>
    <mergeCell ref="N22:O22"/>
    <mergeCell ref="L23:M23"/>
    <mergeCell ref="N23:O23"/>
    <mergeCell ref="P23:Q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5" zeroHeight="false" outlineLevelRow="0" outlineLevelCol="0"/>
  <cols>
    <col collapsed="false" customWidth="true" hidden="false" outlineLevel="0" max="1" min="1" style="172" width="2.71"/>
    <col collapsed="false" customWidth="true" hidden="false" outlineLevel="0" max="2" min="2" style="172" width="35.28"/>
    <col collapsed="false" customWidth="true" hidden="false" outlineLevel="0" max="3" min="3" style="172" width="17.56"/>
    <col collapsed="false" customWidth="true" hidden="false" outlineLevel="0" max="4" min="4" style="172" width="10.71"/>
    <col collapsed="false" customWidth="true" hidden="false" outlineLevel="0" max="14" min="5" style="172" width="10.14"/>
    <col collapsed="false" customWidth="true" hidden="false" outlineLevel="0" max="16" min="15" style="0" width="10.14"/>
    <col collapsed="false" customWidth="false" hidden="false" outlineLevel="0" max="257" min="17" style="172" width="9.14"/>
  </cols>
  <sheetData>
    <row r="2" customFormat="false" ht="15" hidden="false" customHeight="false" outlineLevel="0" collapsed="false">
      <c r="B2" s="173" t="s">
        <v>204</v>
      </c>
      <c r="C2" s="173"/>
      <c r="D2" s="173"/>
      <c r="E2" s="174"/>
      <c r="F2" s="174"/>
      <c r="G2" s="174"/>
      <c r="H2" s="174"/>
      <c r="I2" s="174"/>
      <c r="J2" s="174"/>
    </row>
    <row r="3" customFormat="false" ht="15" hidden="false" customHeight="false" outlineLevel="0" collapsed="false">
      <c r="B3" s="174" t="str">
        <f aca="false">'AAPL-3-Statements'!B3</f>
        <v>($ in Millions, Except Per Share Amounts in Dollars and Share Counts in Thousands)</v>
      </c>
      <c r="C3" s="174"/>
      <c r="D3" s="174"/>
      <c r="E3" s="174"/>
      <c r="F3" s="174"/>
      <c r="G3" s="174"/>
      <c r="H3" s="174"/>
      <c r="I3" s="174"/>
      <c r="J3" s="174"/>
    </row>
    <row r="4" customFormat="false" ht="15" hidden="false" customHeight="false" outlineLevel="0" collapsed="false">
      <c r="B4" s="174"/>
      <c r="C4" s="174"/>
      <c r="D4" s="174"/>
      <c r="E4" s="174"/>
      <c r="F4" s="174"/>
      <c r="G4" s="174"/>
      <c r="H4" s="174"/>
      <c r="I4" s="174"/>
      <c r="J4" s="174"/>
    </row>
    <row r="5" customFormat="false" ht="15" hidden="false" customHeight="false" outlineLevel="0" collapsed="false">
      <c r="B5" s="135" t="str">
        <f aca="false">TEXT(Company_Name,"")&amp;" - Comparable M&amp;A Transactions"</f>
        <v>Apple Inc. - Comparable M&amp;A Transactions</v>
      </c>
      <c r="C5" s="176"/>
      <c r="D5" s="176"/>
      <c r="E5" s="179"/>
      <c r="F5" s="179"/>
      <c r="G5" s="177" t="s">
        <v>205</v>
      </c>
      <c r="H5" s="177"/>
      <c r="I5" s="177"/>
      <c r="J5" s="177"/>
      <c r="K5" s="233" t="s">
        <v>206</v>
      </c>
      <c r="L5" s="233"/>
      <c r="M5" s="233"/>
      <c r="N5" s="233"/>
    </row>
    <row r="6" customFormat="false" ht="15" hidden="false" customHeight="false" outlineLevel="0" collapsed="false">
      <c r="B6" s="234"/>
      <c r="C6" s="235"/>
      <c r="D6" s="235"/>
      <c r="E6" s="139"/>
      <c r="F6" s="139"/>
      <c r="G6" s="140"/>
      <c r="H6" s="140"/>
      <c r="I6" s="139"/>
      <c r="J6" s="139"/>
      <c r="K6" s="139" t="s">
        <v>207</v>
      </c>
      <c r="L6" s="139" t="s">
        <v>207</v>
      </c>
      <c r="M6" s="139" t="s">
        <v>207</v>
      </c>
      <c r="N6" s="143" t="s">
        <v>207</v>
      </c>
    </row>
    <row r="7" customFormat="false" ht="15" hidden="false" customHeight="false" outlineLevel="0" collapsed="false">
      <c r="B7" s="138"/>
      <c r="C7" s="236"/>
      <c r="D7" s="139"/>
      <c r="E7" s="139" t="s">
        <v>176</v>
      </c>
      <c r="F7" s="139" t="s">
        <v>180</v>
      </c>
      <c r="G7" s="139" t="s">
        <v>208</v>
      </c>
      <c r="H7" s="139" t="s">
        <v>209</v>
      </c>
      <c r="I7" s="139" t="s">
        <v>208</v>
      </c>
      <c r="J7" s="139" t="s">
        <v>209</v>
      </c>
      <c r="K7" s="139" t="s">
        <v>208</v>
      </c>
      <c r="L7" s="139" t="s">
        <v>209</v>
      </c>
      <c r="M7" s="139" t="s">
        <v>208</v>
      </c>
      <c r="N7" s="143" t="s">
        <v>209</v>
      </c>
    </row>
    <row r="8" customFormat="false" ht="15" hidden="false" customHeight="false" outlineLevel="0" collapsed="false">
      <c r="B8" s="237" t="s">
        <v>210</v>
      </c>
      <c r="C8" s="145" t="s">
        <v>211</v>
      </c>
      <c r="D8" s="145" t="s">
        <v>212</v>
      </c>
      <c r="E8" s="145" t="s">
        <v>187</v>
      </c>
      <c r="F8" s="145" t="s">
        <v>187</v>
      </c>
      <c r="G8" s="145" t="s">
        <v>181</v>
      </c>
      <c r="H8" s="145" t="s">
        <v>181</v>
      </c>
      <c r="I8" s="145" t="s">
        <v>182</v>
      </c>
      <c r="J8" s="145" t="s">
        <v>182</v>
      </c>
      <c r="K8" s="145" t="s">
        <v>181</v>
      </c>
      <c r="L8" s="145" t="s">
        <v>181</v>
      </c>
      <c r="M8" s="145" t="s">
        <v>182</v>
      </c>
      <c r="N8" s="146" t="s">
        <v>182</v>
      </c>
    </row>
    <row r="9" customFormat="false" ht="15" hidden="false" customHeight="false" outlineLevel="0" collapsed="false">
      <c r="B9" s="174" t="s">
        <v>194</v>
      </c>
      <c r="C9" s="174" t="s">
        <v>213</v>
      </c>
      <c r="D9" s="238" t="n">
        <v>40128</v>
      </c>
      <c r="E9" s="184" t="n">
        <v>3180.063375</v>
      </c>
      <c r="F9" s="239" t="n">
        <v>2714.240375</v>
      </c>
      <c r="G9" s="184" t="n">
        <v>1264.83</v>
      </c>
      <c r="H9" s="184" t="n">
        <v>1222.855</v>
      </c>
      <c r="I9" s="239" t="n">
        <v>152.24</v>
      </c>
      <c r="J9" s="239" t="n">
        <v>110.2178</v>
      </c>
      <c r="K9" s="225" t="n">
        <f aca="false">IF(ISERROR($F9/G9),"NA",IF($F9/G9&gt;0,$F9/G9,"NM"))</f>
        <v>2.14593295146383</v>
      </c>
      <c r="L9" s="225" t="n">
        <f aca="false">IF(ISERROR($F9/H9),"NA",IF($F9/H9&gt;0,$F9/H9,"NM"))</f>
        <v>2.21959298117929</v>
      </c>
      <c r="M9" s="225" t="n">
        <f aca="false">IF(ISERROR($F9/I9),"NA",IF($F9/I9&gt;0,$F9/I9,"NM"))</f>
        <v>17.8286940028902</v>
      </c>
      <c r="N9" s="225" t="n">
        <f aca="false">IF(ISERROR($F9/J9),"NA",IF($F9/J9&gt;0,$F9/J9,"NM"))</f>
        <v>24.6261527176191</v>
      </c>
    </row>
    <row r="10" customFormat="false" ht="15" hidden="false" customHeight="false" outlineLevel="0" collapsed="false">
      <c r="B10" s="174" t="s">
        <v>196</v>
      </c>
      <c r="C10" s="174" t="s">
        <v>214</v>
      </c>
      <c r="D10" s="238" t="n">
        <v>40099</v>
      </c>
      <c r="E10" s="193" t="n">
        <v>2776.67874</v>
      </c>
      <c r="F10" s="193" t="n">
        <v>2385.94374</v>
      </c>
      <c r="G10" s="193" t="n">
        <v>288.201</v>
      </c>
      <c r="H10" s="193" t="n">
        <v>320</v>
      </c>
      <c r="I10" s="193" t="n">
        <v>153.727</v>
      </c>
      <c r="J10" s="193" t="n">
        <v>110.485475241238</v>
      </c>
      <c r="K10" s="225" t="n">
        <f aca="false">IF(ISERROR($F10/G10),"NA",IF($F10/G10&gt;0,$F10/G10,"NM"))</f>
        <v>8.27874899809508</v>
      </c>
      <c r="L10" s="225" t="n">
        <f aca="false">IF(ISERROR($F10/H10),"NA",IF($F10/H10&gt;0,$F10/H10,"NM"))</f>
        <v>7.4560741875</v>
      </c>
      <c r="M10" s="225" t="n">
        <f aca="false">IF(ISERROR($F10/I10),"NA",IF($F10/I10&gt;0,$F10/I10,"NM"))</f>
        <v>15.5206550573419</v>
      </c>
      <c r="N10" s="225" t="n">
        <f aca="false">IF(ISERROR($F10/J10),"NA",IF($F10/J10&gt;0,$F10/J10,"NM"))</f>
        <v>21.5950896241379</v>
      </c>
    </row>
    <row r="11" customFormat="false" ht="15" hidden="false" customHeight="false" outlineLevel="0" collapsed="false">
      <c r="B11" s="174" t="s">
        <v>215</v>
      </c>
      <c r="C11" s="174" t="s">
        <v>216</v>
      </c>
      <c r="D11" s="238" t="n">
        <v>40092</v>
      </c>
      <c r="E11" s="193" t="n">
        <v>1114.489035</v>
      </c>
      <c r="F11" s="193" t="n">
        <v>1147.439035</v>
      </c>
      <c r="G11" s="193" t="n">
        <v>611.246</v>
      </c>
      <c r="H11" s="193" t="n">
        <v>541.865</v>
      </c>
      <c r="I11" s="193" t="n">
        <v>105.17</v>
      </c>
      <c r="J11" s="193" t="n">
        <v>93.2324171446521</v>
      </c>
      <c r="K11" s="225" t="n">
        <f aca="false">IF(ISERROR($F11/G11),"NA",IF($F11/G11&gt;0,$F11/G11,"NM"))</f>
        <v>1.87721315967712</v>
      </c>
      <c r="L11" s="225" t="n">
        <f aca="false">IF(ISERROR($F11/H11),"NA",IF($F11/H11&gt;0,$F11/H11,"NM"))</f>
        <v>2.11757362996318</v>
      </c>
      <c r="M11" s="225" t="n">
        <f aca="false">IF(ISERROR($F11/I11),"NA",IF($F11/I11&gt;0,$F11/I11,"NM"))</f>
        <v>10.9103264714272</v>
      </c>
      <c r="N11" s="225" t="n">
        <f aca="false">IF(ISERROR($F11/J11),"NA",IF($F11/J11&gt;0,$F11/J11,"NM"))</f>
        <v>12.3072968624178</v>
      </c>
    </row>
    <row r="12" customFormat="false" ht="15" hidden="false" customHeight="false" outlineLevel="0" collapsed="false">
      <c r="B12" s="174" t="s">
        <v>217</v>
      </c>
      <c r="C12" s="168" t="s">
        <v>218</v>
      </c>
      <c r="D12" s="238" t="n">
        <v>40002</v>
      </c>
      <c r="E12" s="193" t="n">
        <v>2362.322381</v>
      </c>
      <c r="F12" s="193" t="n">
        <v>2084.539381</v>
      </c>
      <c r="G12" s="193" t="n">
        <v>300.506</v>
      </c>
      <c r="H12" s="193" t="n">
        <v>375.235</v>
      </c>
      <c r="I12" s="193" t="n">
        <v>52.567</v>
      </c>
      <c r="J12" s="193" t="n">
        <v>63.5580791831112</v>
      </c>
      <c r="K12" s="225" t="n">
        <f aca="false">IF(ISERROR($F12/G12),"NA",IF($F12/G12&gt;0,$F12/G12,"NM"))</f>
        <v>6.9367645937186</v>
      </c>
      <c r="L12" s="225" t="n">
        <f aca="false">IF(ISERROR($F12/H12),"NA",IF($F12/H12&gt;0,$F12/H12,"NM"))</f>
        <v>5.55529036736978</v>
      </c>
      <c r="M12" s="225" t="n">
        <f aca="false">IF(ISERROR($F12/I12),"NA",IF($F12/I12&gt;0,$F12/I12,"NM"))</f>
        <v>39.6549048071985</v>
      </c>
      <c r="N12" s="225" t="n">
        <f aca="false">IF(ISERROR($F12/J12),"NA",IF($F12/J12&gt;0,$F12/J12,"NM"))</f>
        <v>32.7973942540717</v>
      </c>
    </row>
    <row r="13" customFormat="false" ht="15" hidden="false" customHeight="false" outlineLevel="0" collapsed="false">
      <c r="B13" s="174" t="s">
        <v>219</v>
      </c>
      <c r="C13" s="168" t="s">
        <v>220</v>
      </c>
      <c r="D13" s="238" t="n">
        <v>39923</v>
      </c>
      <c r="E13" s="193" t="n">
        <v>7074.7011575</v>
      </c>
      <c r="F13" s="193" t="n">
        <v>5391.7011575</v>
      </c>
      <c r="G13" s="193" t="n">
        <v>13256</v>
      </c>
      <c r="H13" s="193" t="n">
        <v>12461.7</v>
      </c>
      <c r="I13" s="193" t="n">
        <v>623</v>
      </c>
      <c r="J13" s="193" t="n">
        <v>558.8</v>
      </c>
      <c r="K13" s="225" t="n">
        <f aca="false">IF(ISERROR($F13/G13),"NA",IF($F13/G13&gt;0,$F13/G13,"NM"))</f>
        <v>0.406736659437236</v>
      </c>
      <c r="L13" s="225" t="n">
        <f aca="false">IF(ISERROR($F13/H13),"NA",IF($F13/H13&gt;0,$F13/H13,"NM"))</f>
        <v>0.432661768257942</v>
      </c>
      <c r="M13" s="225" t="n">
        <f aca="false">IF(ISERROR($F13/I13),"NA",IF($F13/I13&gt;0,$F13/I13,"NM"))</f>
        <v>8.65441598314607</v>
      </c>
      <c r="N13" s="225" t="n">
        <f aca="false">IF(ISERROR($F13/J13),"NA",IF($F13/J13&gt;0,$F13/J13,"NM"))</f>
        <v>9.64871359609878</v>
      </c>
    </row>
    <row r="14" customFormat="false" ht="15" hidden="false" customHeight="false" outlineLevel="0" collapsed="false">
      <c r="B14" s="174" t="s">
        <v>221</v>
      </c>
      <c r="C14" s="168" t="s">
        <v>222</v>
      </c>
      <c r="D14" s="238" t="n">
        <v>39650</v>
      </c>
      <c r="E14" s="193" t="n">
        <v>2899.190805</v>
      </c>
      <c r="F14" s="193" t="n">
        <v>2062.780805</v>
      </c>
      <c r="G14" s="193" t="n">
        <v>621.447</v>
      </c>
      <c r="H14" s="193" t="n">
        <v>632.984</v>
      </c>
      <c r="I14" s="193" t="n">
        <v>155.994</v>
      </c>
      <c r="J14" s="193" t="n">
        <v>124.761</v>
      </c>
      <c r="K14" s="225" t="n">
        <f aca="false">IF(ISERROR($F14/G14),"NA",IF($F14/G14&gt;0,$F14/G14,"NM"))</f>
        <v>3.31931895238049</v>
      </c>
      <c r="L14" s="225" t="n">
        <f aca="false">IF(ISERROR($F14/H14),"NA",IF($F14/H14&gt;0,$F14/H14,"NM"))</f>
        <v>3.25881982009024</v>
      </c>
      <c r="M14" s="225" t="n">
        <f aca="false">IF(ISERROR($F14/I14),"NA",IF($F14/I14&gt;0,$F14/I14,"NM"))</f>
        <v>13.2234624729156</v>
      </c>
      <c r="N14" s="225" t="n">
        <f aca="false">IF(ISERROR($F14/J14),"NA",IF($F14/J14&gt;0,$F14/J14,"NM"))</f>
        <v>16.5338591787498</v>
      </c>
    </row>
    <row r="15" customFormat="false" ht="15" hidden="false" customHeight="false" outlineLevel="0" collapsed="false"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</row>
    <row r="16" customFormat="false" ht="15" hidden="false" customHeight="false" outlineLevel="0" collapsed="false">
      <c r="B16" s="168"/>
      <c r="C16" s="240" t="s">
        <v>151</v>
      </c>
      <c r="D16" s="241"/>
      <c r="E16" s="197" t="n">
        <f aca="false">MAX(E9:E14)</f>
        <v>7074.7011575</v>
      </c>
      <c r="F16" s="197" t="n">
        <f aca="false">MAX(F9:F14)</f>
        <v>5391.7011575</v>
      </c>
      <c r="G16" s="197" t="n">
        <f aca="false">MAX(G9:G14)</f>
        <v>13256</v>
      </c>
      <c r="H16" s="197" t="n">
        <f aca="false">MAX(H9:H14)</f>
        <v>12461.7</v>
      </c>
      <c r="I16" s="197" t="n">
        <f aca="false">MAX(I9:I14)</f>
        <v>623</v>
      </c>
      <c r="J16" s="197" t="n">
        <f aca="false">MAX(J9:J14)</f>
        <v>558.8</v>
      </c>
      <c r="K16" s="226" t="n">
        <f aca="false">MAX(K9:K14)</f>
        <v>8.27874899809508</v>
      </c>
      <c r="L16" s="226" t="n">
        <f aca="false">MAX(L9:L14)</f>
        <v>7.4560741875</v>
      </c>
      <c r="M16" s="226" t="n">
        <f aca="false">MAX(M9:M14)</f>
        <v>39.6549048071985</v>
      </c>
      <c r="N16" s="227" t="n">
        <f aca="false">MAX(N9:N14)</f>
        <v>32.7973942540717</v>
      </c>
    </row>
    <row r="17" customFormat="false" ht="15" hidden="false" customHeight="false" outlineLevel="0" collapsed="false">
      <c r="B17" s="168"/>
      <c r="C17" s="242" t="s">
        <v>199</v>
      </c>
      <c r="D17" s="243"/>
      <c r="E17" s="190" t="n">
        <f aca="false">QUARTILE(E9:E14,3)</f>
        <v>3109.8452325</v>
      </c>
      <c r="F17" s="190" t="n">
        <f aca="false">QUARTILE(F9:F14,3)</f>
        <v>2632.16621625</v>
      </c>
      <c r="G17" s="190" t="n">
        <f aca="false">QUARTILE(G9:G14,3)</f>
        <v>1103.98425</v>
      </c>
      <c r="H17" s="190" t="n">
        <f aca="false">QUARTILE(H9:H14,3)</f>
        <v>1075.38725</v>
      </c>
      <c r="I17" s="190" t="n">
        <f aca="false">QUARTILE(I9:I14,3)</f>
        <v>155.42725</v>
      </c>
      <c r="J17" s="190" t="n">
        <f aca="false">QUARTILE(J9:J14,3)</f>
        <v>121.192118810309</v>
      </c>
      <c r="K17" s="42" t="n">
        <f aca="false">QUARTILE(K9:K14,3)</f>
        <v>6.03240318338407</v>
      </c>
      <c r="L17" s="42" t="n">
        <f aca="false">QUARTILE(L9:L14,3)</f>
        <v>4.9811727305499</v>
      </c>
      <c r="M17" s="42" t="n">
        <f aca="false">QUARTILE(M9:M14,3)</f>
        <v>17.2516842665031</v>
      </c>
      <c r="N17" s="43" t="n">
        <f aca="false">QUARTILE(N9:N14,3)</f>
        <v>23.8683869442488</v>
      </c>
    </row>
    <row r="18" customFormat="false" ht="15" hidden="false" customHeight="false" outlineLevel="0" collapsed="false">
      <c r="B18" s="244"/>
      <c r="C18" s="245" t="s">
        <v>150</v>
      </c>
      <c r="D18" s="246"/>
      <c r="E18" s="206" t="n">
        <f aca="false">MEDIAN(E9:E14)</f>
        <v>2837.9347725</v>
      </c>
      <c r="F18" s="206" t="n">
        <f aca="false">MEDIAN(F9:F14)</f>
        <v>2235.2415605</v>
      </c>
      <c r="G18" s="206" t="n">
        <f aca="false">MEDIAN(G9:G14)</f>
        <v>616.3465</v>
      </c>
      <c r="H18" s="206" t="n">
        <f aca="false">MEDIAN(H9:H14)</f>
        <v>587.4245</v>
      </c>
      <c r="I18" s="206" t="n">
        <f aca="false">MEDIAN(I9:I14)</f>
        <v>152.9835</v>
      </c>
      <c r="J18" s="206" t="n">
        <f aca="false">MEDIAN(J9:J14)</f>
        <v>110.351637620619</v>
      </c>
      <c r="K18" s="228" t="n">
        <f aca="false">MEDIAN(K9:K14)</f>
        <v>2.73262595192216</v>
      </c>
      <c r="L18" s="228" t="n">
        <f aca="false">MEDIAN(L9:L14)</f>
        <v>2.73920640063476</v>
      </c>
      <c r="M18" s="228" t="n">
        <f aca="false">MEDIAN(M9:M14)</f>
        <v>14.3720587651288</v>
      </c>
      <c r="N18" s="229" t="n">
        <f aca="false">MEDIAN(N9:N14)</f>
        <v>19.0644744014438</v>
      </c>
    </row>
    <row r="19" customFormat="false" ht="15" hidden="false" customHeight="false" outlineLevel="0" collapsed="false">
      <c r="B19" s="168"/>
      <c r="C19" s="242" t="s">
        <v>200</v>
      </c>
      <c r="D19" s="243"/>
      <c r="E19" s="190" t="n">
        <f aca="false">QUARTILE(E9:E14,1)</f>
        <v>2465.91147075</v>
      </c>
      <c r="F19" s="190" t="n">
        <f aca="false">QUARTILE(F9:F14,1)</f>
        <v>2068.220449</v>
      </c>
      <c r="G19" s="190" t="n">
        <f aca="false">QUARTILE(G9:G14,1)</f>
        <v>378.191</v>
      </c>
      <c r="H19" s="190" t="n">
        <f aca="false">QUARTILE(H9:H14,1)</f>
        <v>416.8925</v>
      </c>
      <c r="I19" s="190" t="n">
        <f aca="false">QUARTILE(I9:I14,1)</f>
        <v>116.9375</v>
      </c>
      <c r="J19" s="190" t="n">
        <f aca="false">QUARTILE(J9:J14,1)</f>
        <v>97.478762858489</v>
      </c>
      <c r="K19" s="42" t="n">
        <f aca="false">QUARTILE(K9:K14,1)</f>
        <v>1.9443931076238</v>
      </c>
      <c r="L19" s="42" t="n">
        <f aca="false">QUARTILE(L9:L14,1)</f>
        <v>2.14307846776721</v>
      </c>
      <c r="M19" s="42" t="n">
        <f aca="false">QUARTILE(M9:M14,1)</f>
        <v>11.4886104717993</v>
      </c>
      <c r="N19" s="43" t="n">
        <f aca="false">QUARTILE(N9:N14,1)</f>
        <v>13.3639374415008</v>
      </c>
    </row>
    <row r="20" customFormat="false" ht="15" hidden="false" customHeight="false" outlineLevel="0" collapsed="false">
      <c r="B20" s="168"/>
      <c r="C20" s="247" t="s">
        <v>148</v>
      </c>
      <c r="D20" s="248"/>
      <c r="E20" s="211" t="n">
        <f aca="false">MIN(E9:E14)</f>
        <v>1114.489035</v>
      </c>
      <c r="F20" s="211" t="n">
        <f aca="false">MIN(F9:F14)</f>
        <v>1147.439035</v>
      </c>
      <c r="G20" s="211" t="n">
        <f aca="false">MIN(G9:G14)</f>
        <v>288.201</v>
      </c>
      <c r="H20" s="211" t="n">
        <f aca="false">MIN(H9:H14)</f>
        <v>320</v>
      </c>
      <c r="I20" s="211" t="n">
        <f aca="false">MIN(I9:I14)</f>
        <v>52.567</v>
      </c>
      <c r="J20" s="211" t="n">
        <f aca="false">MIN(J9:J14)</f>
        <v>63.5580791831112</v>
      </c>
      <c r="K20" s="46" t="n">
        <f aca="false">MIN(K9:K14)</f>
        <v>0.406736659437236</v>
      </c>
      <c r="L20" s="46" t="n">
        <f aca="false">MIN(L9:L14)</f>
        <v>0.432661768257942</v>
      </c>
      <c r="M20" s="46" t="n">
        <f aca="false">MIN(M9:M14)</f>
        <v>8.65441598314607</v>
      </c>
      <c r="N20" s="47" t="n">
        <f aca="false">MIN(N9:N14)</f>
        <v>9.64871359609878</v>
      </c>
    </row>
  </sheetData>
  <mergeCells count="2">
    <mergeCell ref="G5:J5"/>
    <mergeCell ref="K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72" width="2.71"/>
    <col collapsed="false" customWidth="false" hidden="false" outlineLevel="0" max="10" min="2" style="172" width="9.14"/>
    <col collapsed="false" customWidth="true" hidden="false" outlineLevel="0" max="11" min="11" style="172" width="2.71"/>
    <col collapsed="false" customWidth="false" hidden="false" outlineLevel="0" max="13" min="12" style="172" width="9.14"/>
    <col collapsed="false" customWidth="true" hidden="false" outlineLevel="0" max="14" min="14" style="172" width="9.42"/>
    <col collapsed="false" customWidth="true" hidden="false" outlineLevel="0" max="15" min="15" style="172" width="9.99"/>
    <col collapsed="false" customWidth="false" hidden="false" outlineLevel="0" max="257" min="16" style="172" width="9.14"/>
  </cols>
  <sheetData>
    <row r="2" customFormat="false" ht="15" hidden="false" customHeight="false" outlineLevel="0" collapsed="false">
      <c r="B2" s="1" t="str">
        <f aca="false">"Discounted Cash Flow Analysis - "&amp;TEXT(Company_Name,"")</f>
        <v>Discounted Cash Flow Analysis - Apple Inc.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</row>
    <row r="4" customFormat="false" ht="15" hidden="false" customHeight="false" outlineLevel="0" collapsed="false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</row>
    <row r="5" customFormat="false" ht="15" hidden="false" customHeight="false" outlineLevel="0" collapsed="false">
      <c r="B5" s="135" t="str">
        <f aca="false">TEXT(Company_Name,"")&amp;" - Cash Flow Projections"</f>
        <v>Apple Inc. - Cash Flow Projections</v>
      </c>
      <c r="C5" s="176"/>
      <c r="D5" s="176"/>
      <c r="E5" s="176"/>
      <c r="F5" s="176"/>
      <c r="G5" s="176"/>
      <c r="H5" s="176"/>
      <c r="I5" s="176"/>
      <c r="J5" s="249"/>
      <c r="K5" s="174"/>
      <c r="L5" s="135" t="str">
        <f aca="false">TEXT(Company_Name,"")&amp;" - DCF Assumptions &amp; Output"</f>
        <v>Apple Inc. - DCF Assumptions &amp; Output</v>
      </c>
      <c r="M5" s="176"/>
      <c r="N5" s="176"/>
      <c r="O5" s="249"/>
    </row>
    <row r="6" customFormat="false" ht="15" hidden="false" customHeight="false" outlineLevel="0" collapsed="false">
      <c r="B6" s="144"/>
      <c r="C6" s="250"/>
      <c r="D6" s="250"/>
      <c r="E6" s="250"/>
      <c r="F6" s="145" t="str">
        <f aca="false">'AAPL-3-Statements'!I24</f>
        <v>FY 2010E</v>
      </c>
      <c r="G6" s="145" t="str">
        <f aca="false">'AAPL-3-Statements'!J24</f>
        <v>FY 2011E</v>
      </c>
      <c r="H6" s="145" t="str">
        <f aca="false">'AAPL-3-Statements'!K24</f>
        <v>FY 2012E</v>
      </c>
      <c r="I6" s="145" t="str">
        <f aca="false">'AAPL-3-Statements'!L24</f>
        <v>FY 2013E</v>
      </c>
      <c r="J6" s="146" t="str">
        <f aca="false">'AAPL-3-Statements'!M24</f>
        <v>FY 2014E</v>
      </c>
      <c r="K6" s="174"/>
      <c r="L6" s="144"/>
      <c r="M6" s="250"/>
      <c r="N6" s="250"/>
      <c r="O6" s="251"/>
    </row>
    <row r="7" customFormat="false" ht="15" hidden="false" customHeight="false" outlineLevel="0" collapsed="false">
      <c r="B7" s="147"/>
      <c r="C7" s="148"/>
      <c r="D7" s="148"/>
      <c r="E7" s="148"/>
      <c r="F7" s="148"/>
      <c r="G7" s="252"/>
      <c r="H7" s="252"/>
      <c r="I7" s="252"/>
      <c r="J7" s="253"/>
      <c r="K7" s="174"/>
      <c r="L7" s="147"/>
      <c r="M7" s="148"/>
      <c r="N7" s="148"/>
      <c r="O7" s="254"/>
    </row>
    <row r="8" customFormat="false" ht="15" hidden="false" customHeight="false" outlineLevel="0" collapsed="false">
      <c r="B8" s="150" t="s">
        <v>63</v>
      </c>
      <c r="C8" s="148"/>
      <c r="D8" s="148"/>
      <c r="E8" s="148"/>
      <c r="F8" s="255" t="n">
        <f aca="false">'AAPL-3-Statements'!I66</f>
        <v>53631.25</v>
      </c>
      <c r="G8" s="256" t="n">
        <f aca="false">'AAPL-3-Statements'!J66</f>
        <v>62748.5625</v>
      </c>
      <c r="H8" s="256" t="n">
        <f aca="false">'AAPL-3-Statements'!K66</f>
        <v>69650.904375</v>
      </c>
      <c r="I8" s="256" t="n">
        <f aca="false">'AAPL-3-Statements'!L66</f>
        <v>75919.48576875</v>
      </c>
      <c r="J8" s="257" t="n">
        <f aca="false">'AAPL-3-Statements'!M66</f>
        <v>81233.8497725625</v>
      </c>
      <c r="K8" s="174"/>
      <c r="L8" s="147" t="s">
        <v>223</v>
      </c>
      <c r="M8" s="148"/>
      <c r="N8" s="148"/>
      <c r="O8" s="258" t="n">
        <v>1</v>
      </c>
    </row>
    <row r="9" customFormat="false" ht="15" hidden="false" customHeight="false" outlineLevel="0" collapsed="false">
      <c r="B9" s="150" t="s">
        <v>81</v>
      </c>
      <c r="C9" s="148"/>
      <c r="D9" s="148"/>
      <c r="E9" s="148"/>
      <c r="F9" s="259" t="n">
        <f aca="false">'AAPL-3-Statements'!I91</f>
        <v>16480</v>
      </c>
      <c r="G9" s="260" t="n">
        <f aca="false">'AAPL-3-Statements'!J91</f>
        <v>19281.6</v>
      </c>
      <c r="H9" s="260" t="n">
        <f aca="false">'AAPL-3-Statements'!K91</f>
        <v>21402.576</v>
      </c>
      <c r="I9" s="260" t="n">
        <f aca="false">'AAPL-3-Statements'!L91</f>
        <v>23328.80784</v>
      </c>
      <c r="J9" s="261" t="n">
        <f aca="false">'AAPL-3-Statements'!M91</f>
        <v>24961.8243888</v>
      </c>
      <c r="K9" s="174"/>
      <c r="L9" s="147" t="s">
        <v>224</v>
      </c>
      <c r="M9" s="148"/>
      <c r="N9" s="148"/>
      <c r="O9" s="262" t="n">
        <f aca="false">WACC!G34</f>
        <v>0.124963296194221</v>
      </c>
    </row>
    <row r="10" customFormat="false" ht="15" hidden="false" customHeight="false" outlineLevel="0" collapsed="false">
      <c r="B10" s="150" t="s">
        <v>72</v>
      </c>
      <c r="C10" s="148"/>
      <c r="D10" s="148"/>
      <c r="E10" s="148"/>
      <c r="F10" s="259" t="n">
        <f aca="false">'AAPL-3-Statements'!I78</f>
        <v>14635</v>
      </c>
      <c r="G10" s="260" t="n">
        <f aca="false">'AAPL-3-Statements'!J78</f>
        <v>17132.75</v>
      </c>
      <c r="H10" s="260" t="n">
        <f aca="false">'AAPL-3-Statements'!K78</f>
        <v>19030.4225</v>
      </c>
      <c r="I10" s="260" t="n">
        <f aca="false">'AAPL-3-Statements'!L78</f>
        <v>20760.680525</v>
      </c>
      <c r="J10" s="261" t="n">
        <f aca="false">'AAPL-3-Statements'!M78</f>
        <v>22217.83816175</v>
      </c>
      <c r="K10" s="174"/>
      <c r="L10" s="263"/>
      <c r="M10" s="264"/>
      <c r="N10" s="264"/>
      <c r="O10" s="265"/>
    </row>
    <row r="11" customFormat="false" ht="15" hidden="false" customHeight="false" outlineLevel="0" collapsed="false">
      <c r="B11" s="150"/>
      <c r="C11" s="148"/>
      <c r="D11" s="148"/>
      <c r="E11" s="148"/>
      <c r="F11" s="266"/>
      <c r="G11" s="266"/>
      <c r="H11" s="266"/>
      <c r="I11" s="266"/>
      <c r="J11" s="267"/>
      <c r="K11" s="174"/>
      <c r="L11" s="147" t="s">
        <v>225</v>
      </c>
      <c r="M11" s="148"/>
      <c r="N11" s="268"/>
      <c r="O11" s="269" t="n">
        <v>7</v>
      </c>
    </row>
    <row r="12" customFormat="false" ht="15" hidden="false" customHeight="false" outlineLevel="0" collapsed="false">
      <c r="B12" s="150" t="s">
        <v>226</v>
      </c>
      <c r="C12" s="148"/>
      <c r="D12" s="148"/>
      <c r="E12" s="148"/>
      <c r="F12" s="270" t="n">
        <f aca="false">-F10*Tax_Rate</f>
        <v>-4390.5</v>
      </c>
      <c r="G12" s="270" t="n">
        <f aca="false">-G10*Tax_Rate</f>
        <v>-5139.825</v>
      </c>
      <c r="H12" s="270" t="n">
        <f aca="false">-H10*Tax_Rate</f>
        <v>-5709.12675</v>
      </c>
      <c r="I12" s="270" t="n">
        <f aca="false">-I10*Tax_Rate</f>
        <v>-6228.2041575</v>
      </c>
      <c r="J12" s="271" t="n">
        <f aca="false">-J10*Tax_Rate</f>
        <v>-6665.351448525</v>
      </c>
      <c r="K12" s="174"/>
      <c r="L12" s="147" t="s">
        <v>227</v>
      </c>
      <c r="M12" s="148"/>
      <c r="N12" s="268"/>
      <c r="O12" s="272" t="n">
        <v>0.03</v>
      </c>
    </row>
    <row r="13" customFormat="false" ht="15" hidden="false" customHeight="false" outlineLevel="0" collapsed="false">
      <c r="B13" s="150"/>
      <c r="C13" s="148"/>
      <c r="D13" s="148"/>
      <c r="E13" s="148"/>
      <c r="F13" s="266"/>
      <c r="G13" s="266"/>
      <c r="H13" s="266"/>
      <c r="I13" s="266"/>
      <c r="J13" s="267"/>
      <c r="K13" s="174"/>
      <c r="L13" s="147" t="s">
        <v>228</v>
      </c>
      <c r="M13" s="148"/>
      <c r="N13" s="148"/>
      <c r="O13" s="273" t="n">
        <f aca="false">IF(O8,O11*J9,J21*(1+O12)/(O9-O12))</f>
        <v>174732.7707216</v>
      </c>
    </row>
    <row r="14" customFormat="false" ht="15" hidden="false" customHeight="false" outlineLevel="0" collapsed="false">
      <c r="B14" s="150" t="s">
        <v>229</v>
      </c>
      <c r="C14" s="148"/>
      <c r="D14" s="148"/>
      <c r="E14" s="148"/>
      <c r="F14" s="259" t="n">
        <f aca="false">'AAPL-3-Statements'!I144</f>
        <v>917.5</v>
      </c>
      <c r="G14" s="259" t="n">
        <f aca="false">'AAPL-3-Statements'!J144</f>
        <v>1073.475</v>
      </c>
      <c r="H14" s="259" t="n">
        <f aca="false">'AAPL-3-Statements'!K144</f>
        <v>1191.55725</v>
      </c>
      <c r="I14" s="259" t="n">
        <f aca="false">'AAPL-3-Statements'!L144</f>
        <v>1298.7974025</v>
      </c>
      <c r="J14" s="274" t="n">
        <f aca="false">'AAPL-3-Statements'!M144</f>
        <v>1389.713220675</v>
      </c>
      <c r="K14" s="174"/>
      <c r="L14" s="263"/>
      <c r="M14" s="264"/>
      <c r="N14" s="264"/>
      <c r="O14" s="265"/>
    </row>
    <row r="15" customFormat="false" ht="15" hidden="false" customHeight="false" outlineLevel="0" collapsed="false">
      <c r="B15" s="150" t="s">
        <v>230</v>
      </c>
      <c r="C15" s="148"/>
      <c r="D15" s="148"/>
      <c r="E15" s="148"/>
      <c r="F15" s="259" t="n">
        <f aca="false">'AAPL-3-Statements'!I145</f>
        <v>40</v>
      </c>
      <c r="G15" s="259" t="n">
        <f aca="false">'AAPL-3-Statements'!J145</f>
        <v>37</v>
      </c>
      <c r="H15" s="259" t="n">
        <f aca="false">'AAPL-3-Statements'!K145</f>
        <v>28</v>
      </c>
      <c r="I15" s="259" t="n">
        <f aca="false">'AAPL-3-Statements'!L145</f>
        <v>13</v>
      </c>
      <c r="J15" s="274" t="n">
        <f aca="false">'AAPL-3-Statements'!M145</f>
        <v>10</v>
      </c>
      <c r="K15" s="174"/>
      <c r="L15" s="147" t="s">
        <v>231</v>
      </c>
      <c r="M15" s="148"/>
      <c r="N15" s="148"/>
      <c r="O15" s="271" t="n">
        <f aca="false">IF(O8,O13/((1+O9)^J24),O13/((1+O9)^J25))</f>
        <v>96980.0934027543</v>
      </c>
    </row>
    <row r="16" customFormat="false" ht="15" hidden="false" customHeight="false" outlineLevel="0" collapsed="false">
      <c r="B16" s="150" t="s">
        <v>232</v>
      </c>
      <c r="C16" s="148"/>
      <c r="D16" s="148"/>
      <c r="E16" s="148"/>
      <c r="F16" s="259" t="n">
        <f aca="false">'AAPL-3-Statements'!I146</f>
        <v>887.5</v>
      </c>
      <c r="G16" s="259" t="n">
        <f aca="false">'AAPL-3-Statements'!J146</f>
        <v>1038.375</v>
      </c>
      <c r="H16" s="259" t="n">
        <f aca="false">'AAPL-3-Statements'!K146</f>
        <v>1152.59625</v>
      </c>
      <c r="I16" s="259" t="n">
        <f aca="false">'AAPL-3-Statements'!L146</f>
        <v>1256.3299125</v>
      </c>
      <c r="J16" s="274" t="n">
        <f aca="false">'AAPL-3-Statements'!M146</f>
        <v>1344.273006375</v>
      </c>
      <c r="K16" s="174"/>
      <c r="L16" s="147" t="s">
        <v>233</v>
      </c>
      <c r="M16" s="148"/>
      <c r="N16" s="148"/>
      <c r="O16" s="271" t="n">
        <f aca="false">SUM(F22:J22)</f>
        <v>56296.2514511958</v>
      </c>
    </row>
    <row r="17" customFormat="false" ht="15" hidden="false" customHeight="false" outlineLevel="0" collapsed="false">
      <c r="B17" s="150"/>
      <c r="C17" s="148"/>
      <c r="D17" s="148"/>
      <c r="E17" s="148"/>
      <c r="F17" s="162"/>
      <c r="G17" s="162"/>
      <c r="H17" s="162"/>
      <c r="I17" s="162"/>
      <c r="J17" s="275"/>
      <c r="K17" s="174"/>
      <c r="L17" s="150" t="s">
        <v>32</v>
      </c>
      <c r="M17" s="148"/>
      <c r="N17" s="148"/>
      <c r="O17" s="276" t="n">
        <f aca="false">SUM(O15:O16)</f>
        <v>153276.34485395</v>
      </c>
    </row>
    <row r="18" customFormat="false" ht="15" hidden="false" customHeight="false" outlineLevel="0" collapsed="false">
      <c r="B18" s="150" t="s">
        <v>234</v>
      </c>
      <c r="C18" s="148"/>
      <c r="D18" s="148"/>
      <c r="E18" s="148"/>
      <c r="F18" s="270" t="n">
        <f aca="false">SUM('AAPL-3-Statements'!I150:I156)</f>
        <v>2135.75</v>
      </c>
      <c r="G18" s="270" t="n">
        <f aca="false">SUM('AAPL-3-Statements'!J150:J156)</f>
        <v>1815.3875</v>
      </c>
      <c r="H18" s="270" t="n">
        <f aca="false">SUM('AAPL-3-Statements'!K150:K156)</f>
        <v>1374.355125</v>
      </c>
      <c r="I18" s="270" t="n">
        <f aca="false">SUM('AAPL-3-Statements'!L150:L156)</f>
        <v>1248.16433625</v>
      </c>
      <c r="J18" s="271" t="n">
        <f aca="false">SUM('AAPL-3-Statements'!M150:M156)</f>
        <v>1058.1659872875</v>
      </c>
      <c r="K18" s="174"/>
      <c r="L18" s="147"/>
      <c r="M18" s="148"/>
      <c r="N18" s="148"/>
      <c r="O18" s="149"/>
    </row>
    <row r="19" customFormat="false" ht="15" hidden="false" customHeight="false" outlineLevel="0" collapsed="false">
      <c r="B19" s="150" t="s">
        <v>235</v>
      </c>
      <c r="C19" s="148"/>
      <c r="D19" s="148"/>
      <c r="E19" s="148"/>
      <c r="F19" s="259" t="n">
        <f aca="false">'AAPL-3-Statements'!I163</f>
        <v>-1430</v>
      </c>
      <c r="G19" s="259" t="n">
        <f aca="false">'AAPL-3-Statements'!J163</f>
        <v>-1673.1</v>
      </c>
      <c r="H19" s="259" t="n">
        <f aca="false">'AAPL-3-Statements'!K163</f>
        <v>-1857.141</v>
      </c>
      <c r="I19" s="259" t="n">
        <f aca="false">'AAPL-3-Statements'!L163</f>
        <v>-2024.28369</v>
      </c>
      <c r="J19" s="274" t="n">
        <f aca="false">'AAPL-3-Statements'!M163</f>
        <v>-2165.9835483</v>
      </c>
      <c r="K19" s="174"/>
      <c r="L19" s="147" t="s">
        <v>236</v>
      </c>
      <c r="M19" s="148"/>
      <c r="N19" s="148"/>
      <c r="O19" s="277" t="n">
        <f aca="false">O15/O17</f>
        <v>0.632714027041564</v>
      </c>
    </row>
    <row r="20" customFormat="false" ht="15" hidden="false" customHeight="false" outlineLevel="0" collapsed="false">
      <c r="B20" s="147"/>
      <c r="C20" s="148"/>
      <c r="D20" s="148"/>
      <c r="E20" s="148"/>
      <c r="F20" s="148"/>
      <c r="G20" s="148"/>
      <c r="H20" s="148"/>
      <c r="I20" s="148"/>
      <c r="J20" s="149"/>
      <c r="K20" s="174"/>
      <c r="L20" s="147"/>
      <c r="M20" s="148"/>
      <c r="N20" s="148"/>
      <c r="O20" s="149"/>
    </row>
    <row r="21" customFormat="false" ht="15" hidden="false" customHeight="false" outlineLevel="0" collapsed="false">
      <c r="B21" s="278" t="s">
        <v>237</v>
      </c>
      <c r="C21" s="279"/>
      <c r="D21" s="279"/>
      <c r="E21" s="279"/>
      <c r="F21" s="280" t="n">
        <f aca="false">F10+F12+F14+F15+F16+F18+F19</f>
        <v>12795.25</v>
      </c>
      <c r="G21" s="281" t="n">
        <f aca="false">G10+G12+G14+G15+G16+G18+G19</f>
        <v>14284.0625</v>
      </c>
      <c r="H21" s="281" t="n">
        <f aca="false">H10+H12+H14+H15+H16+H18+H19</f>
        <v>15210.663375</v>
      </c>
      <c r="I21" s="281" t="n">
        <f aca="false">I10+I12+I14+I15+I16+I18+I19</f>
        <v>16324.48432875</v>
      </c>
      <c r="J21" s="282" t="n">
        <f aca="false">J10+J12+J14+J15+J16+J18+J19</f>
        <v>17188.6553792625</v>
      </c>
      <c r="K21" s="174"/>
      <c r="L21" s="147" t="s">
        <v>32</v>
      </c>
      <c r="M21" s="148"/>
      <c r="N21" s="148"/>
      <c r="O21" s="271" t="n">
        <f aca="false">O17</f>
        <v>153276.34485395</v>
      </c>
    </row>
    <row r="22" customFormat="false" ht="15" hidden="false" customHeight="false" outlineLevel="0" collapsed="false">
      <c r="B22" s="283" t="s">
        <v>238</v>
      </c>
      <c r="C22" s="284"/>
      <c r="D22" s="284"/>
      <c r="E22" s="284"/>
      <c r="F22" s="285" t="n">
        <f aca="false">F21/((1+$O$9)^F25)</f>
        <v>12063.6741832432</v>
      </c>
      <c r="G22" s="286" t="n">
        <f aca="false">G21/((1+$O$9)^G25)</f>
        <v>11971.3798781781</v>
      </c>
      <c r="H22" s="286" t="n">
        <f aca="false">H21/((1+$O$9)^H25)</f>
        <v>11331.887971866</v>
      </c>
      <c r="I22" s="286" t="n">
        <f aca="false">I21/((1+$O$9)^I25)</f>
        <v>10810.7353414293</v>
      </c>
      <c r="J22" s="287" t="n">
        <f aca="false">J21/((1+$O$9)^J25)</f>
        <v>10118.5740764791</v>
      </c>
      <c r="K22" s="174"/>
      <c r="L22" s="147" t="s">
        <v>156</v>
      </c>
      <c r="M22" s="148"/>
      <c r="N22" s="148"/>
      <c r="O22" s="271" t="n">
        <f aca="false">'AAPL-3-Statements'!E15-'AAPL-3-Statements'!E16-'AAPL-3-Statements'!E17-'AAPL-3-Statements'!E18-'AAPL-3-Statements'!E19</f>
        <v>35395</v>
      </c>
    </row>
    <row r="23" customFormat="false" ht="15" hidden="false" customHeight="false" outlineLevel="0" collapsed="false">
      <c r="B23" s="147"/>
      <c r="C23" s="148"/>
      <c r="D23" s="148"/>
      <c r="E23" s="148"/>
      <c r="F23" s="148"/>
      <c r="G23" s="288"/>
      <c r="H23" s="148"/>
      <c r="I23" s="148"/>
      <c r="J23" s="149"/>
      <c r="K23" s="174"/>
      <c r="L23" s="150" t="s">
        <v>239</v>
      </c>
      <c r="M23" s="148"/>
      <c r="N23" s="148"/>
      <c r="O23" s="276" t="n">
        <f aca="false">SUM(O21:O22)</f>
        <v>188671.34485395</v>
      </c>
    </row>
    <row r="24" customFormat="false" ht="15" hidden="false" customHeight="false" outlineLevel="0" collapsed="false">
      <c r="B24" s="289" t="s">
        <v>240</v>
      </c>
      <c r="C24" s="148"/>
      <c r="D24" s="148"/>
      <c r="E24" s="148"/>
      <c r="F24" s="290" t="n">
        <v>1</v>
      </c>
      <c r="G24" s="291" t="n">
        <f aca="false">F24+1</f>
        <v>2</v>
      </c>
      <c r="H24" s="291" t="n">
        <f aca="false">G24+1</f>
        <v>3</v>
      </c>
      <c r="I24" s="291" t="n">
        <f aca="false">H24+1</f>
        <v>4</v>
      </c>
      <c r="J24" s="292" t="n">
        <f aca="false">I24+1</f>
        <v>5</v>
      </c>
      <c r="K24" s="174"/>
      <c r="L24" s="147"/>
      <c r="M24" s="148"/>
      <c r="N24" s="148"/>
      <c r="O24" s="149"/>
    </row>
    <row r="25" customFormat="false" ht="15" hidden="false" customHeight="false" outlineLevel="0" collapsed="false">
      <c r="B25" s="289" t="s">
        <v>241</v>
      </c>
      <c r="C25" s="148"/>
      <c r="D25" s="148"/>
      <c r="E25" s="148"/>
      <c r="F25" s="290" t="n">
        <v>0.5</v>
      </c>
      <c r="G25" s="291" t="n">
        <f aca="false">F25+1</f>
        <v>1.5</v>
      </c>
      <c r="H25" s="291" t="n">
        <f aca="false">G25+1</f>
        <v>2.5</v>
      </c>
      <c r="I25" s="291" t="n">
        <f aca="false">H25+1</f>
        <v>3.5</v>
      </c>
      <c r="J25" s="292" t="n">
        <f aca="false">I25+1</f>
        <v>4.5</v>
      </c>
      <c r="K25" s="293"/>
      <c r="L25" s="150" t="s">
        <v>242</v>
      </c>
      <c r="M25" s="148"/>
      <c r="N25" s="148"/>
      <c r="O25" s="294" t="n">
        <f aca="false">O23*Units/Diluted_Shares</f>
        <v>204.960448694455</v>
      </c>
    </row>
    <row r="26" customFormat="false" ht="15" hidden="false" customHeight="false" outlineLevel="0" collapsed="false">
      <c r="B26" s="147"/>
      <c r="C26" s="148"/>
      <c r="D26" s="148"/>
      <c r="E26" s="148"/>
      <c r="F26" s="148"/>
      <c r="G26" s="295"/>
      <c r="H26" s="148"/>
      <c r="I26" s="148"/>
      <c r="J26" s="149"/>
      <c r="K26" s="174"/>
      <c r="L26" s="296"/>
      <c r="M26" s="296"/>
      <c r="N26" s="296"/>
      <c r="O26" s="296"/>
    </row>
    <row r="27" customFormat="false" ht="15" hidden="false" customHeight="false" outlineLevel="0" collapsed="false">
      <c r="B27" s="297" t="s">
        <v>243</v>
      </c>
      <c r="C27" s="298"/>
      <c r="D27" s="298"/>
      <c r="E27" s="298"/>
      <c r="F27" s="298"/>
      <c r="G27" s="299" t="n">
        <f aca="false">G21/F21-1</f>
        <v>0.116356655790234</v>
      </c>
      <c r="H27" s="300" t="n">
        <f aca="false">H21/G21-1</f>
        <v>0.0648695617930828</v>
      </c>
      <c r="I27" s="300" t="n">
        <f aca="false">I21/H21-1</f>
        <v>0.0732263232897954</v>
      </c>
      <c r="J27" s="301" t="n">
        <f aca="false">J21/I21-1</f>
        <v>0.0529371117095907</v>
      </c>
      <c r="K27" s="174"/>
      <c r="L27" s="270"/>
      <c r="M27" s="148"/>
      <c r="N27" s="148"/>
      <c r="O27" s="148"/>
    </row>
    <row r="28" customFormat="false" ht="15" hidden="false" customHeight="false" outlineLevel="0" collapsed="false"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270"/>
      <c r="M28" s="148"/>
      <c r="N28" s="148"/>
      <c r="O28" s="302"/>
    </row>
    <row r="29" customFormat="false" ht="15" hidden="false" customHeight="false" outlineLevel="0" collapsed="false">
      <c r="B29" s="135" t="str">
        <f aca="false">TEXT(Company_Name,"")&amp;" - Net Present Value Sensitivity - Terminal Growth Rates"</f>
        <v>Apple Inc. - Net Present Value Sensitivity - Terminal Growth Rates</v>
      </c>
      <c r="C29" s="176"/>
      <c r="D29" s="176"/>
      <c r="E29" s="176"/>
      <c r="F29" s="176"/>
      <c r="G29" s="176"/>
      <c r="H29" s="176"/>
      <c r="I29" s="176"/>
      <c r="J29" s="249"/>
      <c r="K29" s="174"/>
      <c r="L29" s="148"/>
      <c r="M29" s="148"/>
      <c r="N29" s="148"/>
      <c r="O29" s="303"/>
    </row>
    <row r="30" customFormat="false" ht="15" hidden="false" customHeight="false" outlineLevel="0" collapsed="false">
      <c r="B30" s="147"/>
      <c r="C30" s="148"/>
      <c r="D30" s="304" t="s">
        <v>244</v>
      </c>
      <c r="E30" s="304"/>
      <c r="F30" s="304"/>
      <c r="G30" s="304"/>
      <c r="H30" s="304"/>
      <c r="I30" s="304"/>
      <c r="J30" s="304"/>
      <c r="K30" s="174"/>
      <c r="L30" s="148"/>
      <c r="M30" s="148"/>
      <c r="N30" s="148"/>
      <c r="O30" s="148"/>
    </row>
    <row r="31" customFormat="false" ht="15" hidden="false" customHeight="false" outlineLevel="0" collapsed="false">
      <c r="B31" s="147"/>
      <c r="C31" s="305" t="n">
        <f aca="false">O25</f>
        <v>204.960448694455</v>
      </c>
      <c r="D31" s="306" t="n">
        <v>0.1</v>
      </c>
      <c r="E31" s="307" t="n">
        <f aca="false">D31+1%</f>
        <v>0.11</v>
      </c>
      <c r="F31" s="307" t="n">
        <f aca="false">E31+1%</f>
        <v>0.12</v>
      </c>
      <c r="G31" s="308" t="n">
        <f aca="false">F31+1%</f>
        <v>0.13</v>
      </c>
      <c r="H31" s="307" t="n">
        <f aca="false">G31+1%</f>
        <v>0.14</v>
      </c>
      <c r="I31" s="307" t="n">
        <f aca="false">H31+1%</f>
        <v>0.15</v>
      </c>
      <c r="J31" s="309" t="n">
        <f aca="false">I31+1%</f>
        <v>0.16</v>
      </c>
      <c r="K31" s="174"/>
      <c r="L31" s="148"/>
      <c r="M31" s="310"/>
      <c r="N31" s="311"/>
      <c r="O31" s="310"/>
    </row>
    <row r="32" customFormat="false" ht="15" hidden="false" customHeight="true" outlineLevel="0" collapsed="false">
      <c r="B32" s="312" t="s">
        <v>245</v>
      </c>
      <c r="C32" s="272" t="n">
        <v>0</v>
      </c>
      <c r="D32" s="313" t="n">
        <f aca="true">TABLE($C$31,$O$12,$C32,$O$9,D$31)</f>
        <v>220.900816416425</v>
      </c>
      <c r="E32" s="198" t="n">
        <f aca="true">TABLE($C$31,$O$12,$C32,$O$9,E$31)</f>
        <v>214.272702998076</v>
      </c>
      <c r="F32" s="198" t="n">
        <f aca="true">TABLE($C$31,$O$12,$C32,$O$9,F$31)</f>
        <v>207.972056519804</v>
      </c>
      <c r="G32" s="314" t="n">
        <f aca="true">TABLE($C$31,$O$12,$C32,$O$9,G$31)</f>
        <v>201.979592212192</v>
      </c>
      <c r="H32" s="198" t="n">
        <f aca="true">TABLE($C$31,$O$12,$C32,$O$9,H$31)</f>
        <v>196.277328045233</v>
      </c>
      <c r="I32" s="198" t="n">
        <f aca="true">TABLE($C$31,$O$12,$C32,$O$9,I$31)</f>
        <v>190.848485946445</v>
      </c>
      <c r="J32" s="315" t="n">
        <f aca="true">TABLE($C$31,$O$12,$C32,$O$9,J$31)</f>
        <v>185.677401301572</v>
      </c>
      <c r="K32" s="174"/>
      <c r="L32" s="148"/>
      <c r="M32" s="310"/>
      <c r="N32" s="310"/>
      <c r="O32" s="310"/>
    </row>
    <row r="33" customFormat="false" ht="15" hidden="false" customHeight="false" outlineLevel="0" collapsed="false">
      <c r="B33" s="312"/>
      <c r="C33" s="277" t="n">
        <f aca="false">C32+1%</f>
        <v>0.01</v>
      </c>
      <c r="D33" s="316" t="n">
        <f aca="true">TABLE($C$31,$O$12,$C33,$O$9,D$31)</f>
        <v>220.900816416425</v>
      </c>
      <c r="E33" s="156" t="n">
        <f aca="true">TABLE($C$31,$O$12,$C33,$O$9,E$31)</f>
        <v>214.272702998076</v>
      </c>
      <c r="F33" s="156" t="n">
        <f aca="true">TABLE($C$31,$O$12,$C33,$O$9,F$31)</f>
        <v>207.972056519804</v>
      </c>
      <c r="G33" s="303" t="n">
        <f aca="true">TABLE($C$31,$O$12,$C33,$O$9,G$31)</f>
        <v>201.979592212192</v>
      </c>
      <c r="H33" s="156" t="n">
        <f aca="true">TABLE($C$31,$O$12,$C33,$O$9,H$31)</f>
        <v>196.277328045233</v>
      </c>
      <c r="I33" s="156" t="n">
        <f aca="true">TABLE($C$31,$O$12,$C33,$O$9,I$31)</f>
        <v>190.848485946445</v>
      </c>
      <c r="J33" s="157" t="n">
        <f aca="true">TABLE($C$31,$O$12,$C33,$O$9,J$31)</f>
        <v>185.677401301572</v>
      </c>
      <c r="K33" s="174"/>
      <c r="L33" s="174"/>
      <c r="M33" s="174"/>
      <c r="N33" s="174"/>
      <c r="O33" s="174"/>
    </row>
    <row r="34" customFormat="false" ht="15" hidden="false" customHeight="false" outlineLevel="0" collapsed="false">
      <c r="B34" s="312"/>
      <c r="C34" s="277" t="n">
        <f aca="false">C33+1%</f>
        <v>0.02</v>
      </c>
      <c r="D34" s="316" t="n">
        <f aca="true">TABLE($C$31,$O$12,$C34,$O$9,D$31)</f>
        <v>220.900816416425</v>
      </c>
      <c r="E34" s="156" t="n">
        <f aca="true">TABLE($C$31,$O$12,$C34,$O$9,E$31)</f>
        <v>214.272702998076</v>
      </c>
      <c r="F34" s="156" t="n">
        <f aca="true">TABLE($C$31,$O$12,$C34,$O$9,F$31)</f>
        <v>207.972056519804</v>
      </c>
      <c r="G34" s="303" t="n">
        <f aca="true">TABLE($C$31,$O$12,$C34,$O$9,G$31)</f>
        <v>201.979592212192</v>
      </c>
      <c r="H34" s="156" t="n">
        <f aca="true">TABLE($C$31,$O$12,$C34,$O$9,H$31)</f>
        <v>196.277328045233</v>
      </c>
      <c r="I34" s="156" t="n">
        <f aca="true">TABLE($C$31,$O$12,$C34,$O$9,I$31)</f>
        <v>190.848485946445</v>
      </c>
      <c r="J34" s="157" t="n">
        <f aca="true">TABLE($C$31,$O$12,$C34,$O$9,J$31)</f>
        <v>185.677401301572</v>
      </c>
      <c r="K34" s="174"/>
      <c r="L34" s="148"/>
      <c r="M34" s="174"/>
      <c r="N34" s="148"/>
      <c r="O34" s="148"/>
    </row>
    <row r="35" customFormat="false" ht="15" hidden="false" customHeight="false" outlineLevel="0" collapsed="false">
      <c r="B35" s="312"/>
      <c r="C35" s="317" t="n">
        <f aca="false">C34+1%</f>
        <v>0.03</v>
      </c>
      <c r="D35" s="318" t="n">
        <f aca="true">TABLE($C$31,$O$12,$C35,$O$9,D$31)</f>
        <v>220.900816416425</v>
      </c>
      <c r="E35" s="303" t="n">
        <f aca="true">TABLE($C$31,$O$12,$C35,$O$9,E$31)</f>
        <v>214.272702998076</v>
      </c>
      <c r="F35" s="303" t="n">
        <f aca="true">TABLE($C$31,$O$12,$C35,$O$9,F$31)</f>
        <v>207.972056519804</v>
      </c>
      <c r="G35" s="303" t="n">
        <f aca="true">TABLE($C$31,$O$12,$C35,$O$9,G$31)</f>
        <v>201.979592212192</v>
      </c>
      <c r="H35" s="303" t="n">
        <f aca="true">TABLE($C$31,$O$12,$C35,$O$9,H$31)</f>
        <v>196.277328045233</v>
      </c>
      <c r="I35" s="303" t="n">
        <f aca="true">TABLE($C$31,$O$12,$C35,$O$9,I$31)</f>
        <v>190.848485946445</v>
      </c>
      <c r="J35" s="294" t="n">
        <f aca="true">TABLE($C$31,$O$12,$C35,$O$9,J$31)</f>
        <v>185.677401301572</v>
      </c>
      <c r="K35" s="174"/>
      <c r="L35" s="148"/>
      <c r="M35" s="174"/>
      <c r="N35" s="148"/>
      <c r="O35" s="148"/>
    </row>
    <row r="36" customFormat="false" ht="15" hidden="false" customHeight="false" outlineLevel="0" collapsed="false">
      <c r="B36" s="312"/>
      <c r="C36" s="277" t="n">
        <f aca="false">C35+1%</f>
        <v>0.04</v>
      </c>
      <c r="D36" s="316" t="n">
        <f aca="true">TABLE($C$31,$O$12,$C36,$O$9,D$31)</f>
        <v>220.900816416425</v>
      </c>
      <c r="E36" s="156" t="n">
        <f aca="true">TABLE($C$31,$O$12,$C36,$O$9,E$31)</f>
        <v>214.272702998076</v>
      </c>
      <c r="F36" s="156" t="n">
        <f aca="true">TABLE($C$31,$O$12,$C36,$O$9,F$31)</f>
        <v>207.972056519804</v>
      </c>
      <c r="G36" s="303" t="n">
        <f aca="true">TABLE($C$31,$O$12,$C36,$O$9,G$31)</f>
        <v>201.979592212192</v>
      </c>
      <c r="H36" s="156" t="n">
        <f aca="true">TABLE($C$31,$O$12,$C36,$O$9,H$31)</f>
        <v>196.277328045233</v>
      </c>
      <c r="I36" s="156" t="n">
        <f aca="true">TABLE($C$31,$O$12,$C36,$O$9,I$31)</f>
        <v>190.848485946445</v>
      </c>
      <c r="J36" s="157" t="n">
        <f aca="true">TABLE($C$31,$O$12,$C36,$O$9,J$31)</f>
        <v>185.677401301572</v>
      </c>
      <c r="K36" s="174"/>
      <c r="L36" s="148"/>
      <c r="M36" s="174"/>
      <c r="N36" s="148"/>
      <c r="O36" s="148"/>
    </row>
    <row r="37" customFormat="false" ht="15" hidden="false" customHeight="false" outlineLevel="0" collapsed="false">
      <c r="B37" s="312"/>
      <c r="C37" s="319" t="n">
        <f aca="false">C36+1%</f>
        <v>0.05</v>
      </c>
      <c r="D37" s="320" t="n">
        <f aca="true">TABLE($C$31,$O$12,$C37,$O$9,D$31)</f>
        <v>220.900816416425</v>
      </c>
      <c r="E37" s="165" t="n">
        <f aca="true">TABLE($C$31,$O$12,$C37,$O$9,E$31)</f>
        <v>214.272702998076</v>
      </c>
      <c r="F37" s="165" t="n">
        <f aca="true">TABLE($C$31,$O$12,$C37,$O$9,F$31)</f>
        <v>207.972056519804</v>
      </c>
      <c r="G37" s="321" t="n">
        <f aca="true">TABLE($C$31,$O$12,$C37,$O$9,G$31)</f>
        <v>201.979592212192</v>
      </c>
      <c r="H37" s="165" t="n">
        <f aca="true">TABLE($C$31,$O$12,$C37,$O$9,H$31)</f>
        <v>196.277328045233</v>
      </c>
      <c r="I37" s="165" t="n">
        <f aca="true">TABLE($C$31,$O$12,$C37,$O$9,I$31)</f>
        <v>190.848485946445</v>
      </c>
      <c r="J37" s="322" t="n">
        <f aca="true">TABLE($C$31,$O$12,$C37,$O$9,J$31)</f>
        <v>185.677401301572</v>
      </c>
      <c r="K37" s="174"/>
      <c r="L37" s="148"/>
      <c r="M37" s="148"/>
      <c r="N37" s="148"/>
      <c r="O37" s="148"/>
    </row>
    <row r="38" customFormat="false" ht="15" hidden="false" customHeight="false" outlineLevel="0" collapsed="false">
      <c r="B38" s="323"/>
      <c r="C38" s="174"/>
      <c r="D38" s="174"/>
      <c r="E38" s="174"/>
      <c r="F38" s="174"/>
      <c r="G38" s="174"/>
      <c r="H38" s="174"/>
      <c r="I38" s="174"/>
      <c r="J38" s="174"/>
      <c r="K38" s="174"/>
      <c r="L38" s="148"/>
      <c r="M38" s="148"/>
      <c r="N38" s="148"/>
      <c r="O38" s="148"/>
    </row>
    <row r="39" customFormat="false" ht="15" hidden="false" customHeight="false" outlineLevel="0" collapsed="false">
      <c r="B39" s="135" t="str">
        <f aca="false">TEXT(Company_Name,"")&amp;" - Net Present Value Sensitivity - Terminal EBITDA Multiples"</f>
        <v>Apple Inc. - Net Present Value Sensitivity - Terminal EBITDA Multiples</v>
      </c>
      <c r="C39" s="176"/>
      <c r="D39" s="176"/>
      <c r="E39" s="176"/>
      <c r="F39" s="176"/>
      <c r="G39" s="176"/>
      <c r="H39" s="176"/>
      <c r="I39" s="176"/>
      <c r="J39" s="249"/>
      <c r="K39" s="174"/>
      <c r="L39" s="148"/>
      <c r="M39" s="148"/>
      <c r="N39" s="148"/>
      <c r="O39" s="148"/>
    </row>
    <row r="40" customFormat="false" ht="15" hidden="false" customHeight="false" outlineLevel="0" collapsed="false">
      <c r="B40" s="147"/>
      <c r="C40" s="148"/>
      <c r="D40" s="304" t="str">
        <f aca="false">D30</f>
        <v>Discount Rate</v>
      </c>
      <c r="E40" s="304"/>
      <c r="F40" s="304"/>
      <c r="G40" s="304"/>
      <c r="H40" s="304"/>
      <c r="I40" s="304"/>
      <c r="J40" s="304"/>
      <c r="K40" s="174"/>
      <c r="L40" s="148"/>
      <c r="M40" s="148"/>
      <c r="N40" s="148"/>
      <c r="O40" s="148"/>
    </row>
    <row r="41" customFormat="false" ht="15" hidden="false" customHeight="false" outlineLevel="0" collapsed="false">
      <c r="B41" s="147"/>
      <c r="C41" s="305" t="n">
        <f aca="false">O25</f>
        <v>204.960448694455</v>
      </c>
      <c r="D41" s="307" t="n">
        <f aca="false">D31</f>
        <v>0.1</v>
      </c>
      <c r="E41" s="307" t="n">
        <f aca="false">E31</f>
        <v>0.11</v>
      </c>
      <c r="F41" s="307" t="n">
        <f aca="false">F31</f>
        <v>0.12</v>
      </c>
      <c r="G41" s="308" t="n">
        <f aca="false">G31</f>
        <v>0.13</v>
      </c>
      <c r="H41" s="307" t="n">
        <f aca="false">H31</f>
        <v>0.14</v>
      </c>
      <c r="I41" s="307" t="n">
        <f aca="false">I31</f>
        <v>0.15</v>
      </c>
      <c r="J41" s="309" t="n">
        <f aca="false">J31</f>
        <v>0.16</v>
      </c>
      <c r="K41" s="174"/>
      <c r="L41" s="148"/>
      <c r="M41" s="148"/>
      <c r="N41" s="148"/>
      <c r="O41" s="148"/>
    </row>
    <row r="42" customFormat="false" ht="15" hidden="false" customHeight="true" outlineLevel="0" collapsed="false">
      <c r="B42" s="312" t="s">
        <v>246</v>
      </c>
      <c r="C42" s="269" t="n">
        <v>4</v>
      </c>
      <c r="D42" s="313" t="n">
        <f aca="true">TABLE($C$41,$O$11,$C42,$O$9,D$41)</f>
        <v>170.388385384868</v>
      </c>
      <c r="E42" s="198" t="n">
        <f aca="true">TABLE($C$41,$O$11,$C42,$O$9,E$41)</f>
        <v>165.994977357322</v>
      </c>
      <c r="F42" s="198" t="n">
        <f aca="true">TABLE($C$41,$O$11,$C42,$O$9,F$41)</f>
        <v>161.811441880696</v>
      </c>
      <c r="G42" s="314" t="n">
        <f aca="true">TABLE($C$41,$O$11,$C42,$O$9,G$41)</f>
        <v>157.825650616515</v>
      </c>
      <c r="H42" s="198" t="n">
        <f aca="true">TABLE($C$41,$O$11,$C42,$O$9,H$41)</f>
        <v>154.026284532708</v>
      </c>
      <c r="I42" s="198" t="n">
        <f aca="true">TABLE($C$41,$O$11,$C42,$O$9,I$41)</f>
        <v>150.402773068492</v>
      </c>
      <c r="J42" s="315" t="n">
        <f aca="true">TABLE($C$41,$O$11,$C42,$O$9,J$41)</f>
        <v>146.945238366905</v>
      </c>
      <c r="K42" s="174"/>
      <c r="L42" s="148"/>
      <c r="M42" s="148"/>
      <c r="N42" s="148"/>
      <c r="O42" s="148"/>
    </row>
    <row r="43" customFormat="false" ht="15" hidden="false" customHeight="false" outlineLevel="0" collapsed="false">
      <c r="B43" s="312"/>
      <c r="C43" s="43" t="n">
        <f aca="false">C42+1</f>
        <v>5</v>
      </c>
      <c r="D43" s="316" t="n">
        <f aca="true">TABLE($C$41,$O$11,$C43,$O$9,D$41)</f>
        <v>187.225862395387</v>
      </c>
      <c r="E43" s="156" t="n">
        <f aca="true">TABLE($C$41,$O$11,$C43,$O$9,E$41)</f>
        <v>182.087552570907</v>
      </c>
      <c r="F43" s="156" t="n">
        <f aca="true">TABLE($C$41,$O$11,$C43,$O$9,F$41)</f>
        <v>177.198313427065</v>
      </c>
      <c r="G43" s="303" t="n">
        <f aca="true">TABLE($C$41,$O$11,$C43,$O$9,G$41)</f>
        <v>172.543631148407</v>
      </c>
      <c r="H43" s="156" t="n">
        <f aca="true">TABLE($C$41,$O$11,$C43,$O$9,H$41)</f>
        <v>168.10996570355</v>
      </c>
      <c r="I43" s="156" t="n">
        <f aca="true">TABLE($C$41,$O$11,$C43,$O$9,I$41)</f>
        <v>163.884677361143</v>
      </c>
      <c r="J43" s="157" t="n">
        <f aca="true">TABLE($C$41,$O$11,$C43,$O$9,J$41)</f>
        <v>159.855959345127</v>
      </c>
      <c r="K43" s="174"/>
      <c r="L43" s="148"/>
      <c r="M43" s="148"/>
      <c r="N43" s="148"/>
      <c r="O43" s="148"/>
    </row>
    <row r="44" customFormat="false" ht="15" hidden="false" customHeight="false" outlineLevel="0" collapsed="false">
      <c r="B44" s="312"/>
      <c r="C44" s="43" t="n">
        <f aca="false">C43+1</f>
        <v>6</v>
      </c>
      <c r="D44" s="316" t="n">
        <f aca="true">TABLE($C$41,$O$11,$C44,$O$9,D$41)</f>
        <v>204.063339405906</v>
      </c>
      <c r="E44" s="156" t="n">
        <f aca="true">TABLE($C$41,$O$11,$C44,$O$9,E$41)</f>
        <v>198.180127784491</v>
      </c>
      <c r="F44" s="156" t="n">
        <f aca="true">TABLE($C$41,$O$11,$C44,$O$9,F$41)</f>
        <v>192.585184973435</v>
      </c>
      <c r="G44" s="303" t="n">
        <f aca="true">TABLE($C$41,$O$11,$C44,$O$9,G$41)</f>
        <v>187.2616116803</v>
      </c>
      <c r="H44" s="156" t="n">
        <f aca="true">TABLE($C$41,$O$11,$C44,$O$9,H$41)</f>
        <v>182.193646874392</v>
      </c>
      <c r="I44" s="156" t="n">
        <f aca="true">TABLE($C$41,$O$11,$C44,$O$9,I$41)</f>
        <v>177.366581653794</v>
      </c>
      <c r="J44" s="157" t="n">
        <f aca="true">TABLE($C$41,$O$11,$C44,$O$9,J$41)</f>
        <v>172.76668032335</v>
      </c>
      <c r="K44" s="174"/>
      <c r="L44" s="148"/>
      <c r="M44" s="148"/>
      <c r="N44" s="148"/>
      <c r="O44" s="148"/>
    </row>
    <row r="45" customFormat="false" ht="15" hidden="false" customHeight="false" outlineLevel="0" collapsed="false">
      <c r="B45" s="312"/>
      <c r="C45" s="324" t="n">
        <f aca="false">C44+1</f>
        <v>7</v>
      </c>
      <c r="D45" s="318" t="n">
        <f aca="true">TABLE($C$41,$O$11,$C45,$O$9,D$41)</f>
        <v>220.900816416425</v>
      </c>
      <c r="E45" s="303" t="n">
        <f aca="true">TABLE($C$41,$O$11,$C45,$O$9,E$41)</f>
        <v>214.272702998076</v>
      </c>
      <c r="F45" s="303" t="n">
        <f aca="true">TABLE($C$41,$O$11,$C45,$O$9,F$41)</f>
        <v>207.972056519804</v>
      </c>
      <c r="G45" s="303" t="n">
        <f aca="true">TABLE($C$41,$O$11,$C45,$O$9,G$41)</f>
        <v>201.979592212192</v>
      </c>
      <c r="H45" s="303" t="n">
        <f aca="true">TABLE($C$41,$O$11,$C45,$O$9,H$41)</f>
        <v>196.277328045233</v>
      </c>
      <c r="I45" s="303" t="n">
        <f aca="true">TABLE($C$41,$O$11,$C45,$O$9,I$41)</f>
        <v>190.848485946445</v>
      </c>
      <c r="J45" s="294" t="n">
        <f aca="true">TABLE($C$41,$O$11,$C45,$O$9,J$41)</f>
        <v>185.677401301572</v>
      </c>
      <c r="K45" s="174"/>
      <c r="L45" s="148"/>
      <c r="M45" s="148"/>
      <c r="N45" s="148"/>
      <c r="O45" s="148"/>
    </row>
    <row r="46" customFormat="false" ht="15" hidden="false" customHeight="false" outlineLevel="0" collapsed="false">
      <c r="B46" s="312"/>
      <c r="C46" s="43" t="n">
        <f aca="false">C45+1</f>
        <v>8</v>
      </c>
      <c r="D46" s="316" t="n">
        <f aca="true">TABLE($C$41,$O$11,$C46,$O$9,D$41)</f>
        <v>237.738293426944</v>
      </c>
      <c r="E46" s="156" t="n">
        <f aca="true">TABLE($C$41,$O$11,$C46,$O$9,E$41)</f>
        <v>230.365278211661</v>
      </c>
      <c r="F46" s="156" t="n">
        <f aca="true">TABLE($C$41,$O$11,$C46,$O$9,F$41)</f>
        <v>223.358928066173</v>
      </c>
      <c r="G46" s="303" t="n">
        <f aca="true">TABLE($C$41,$O$11,$C46,$O$9,G$41)</f>
        <v>216.697572744084</v>
      </c>
      <c r="H46" s="156" t="n">
        <f aca="true">TABLE($C$41,$O$11,$C46,$O$9,H$41)</f>
        <v>210.361009216075</v>
      </c>
      <c r="I46" s="156" t="n">
        <f aca="true">TABLE($C$41,$O$11,$C46,$O$9,I$41)</f>
        <v>204.330390239096</v>
      </c>
      <c r="J46" s="157" t="n">
        <f aca="true">TABLE($C$41,$O$11,$C46,$O$9,J$41)</f>
        <v>198.588122279795</v>
      </c>
      <c r="K46" s="174"/>
      <c r="L46" s="148"/>
      <c r="M46" s="148"/>
      <c r="N46" s="148"/>
      <c r="O46" s="148"/>
    </row>
    <row r="47" customFormat="false" ht="15" hidden="false" customHeight="false" outlineLevel="0" collapsed="false">
      <c r="B47" s="312"/>
      <c r="C47" s="47" t="n">
        <f aca="false">C46+1</f>
        <v>9</v>
      </c>
      <c r="D47" s="320" t="n">
        <f aca="true">TABLE($C$41,$O$11,$C47,$O$9,D$41)</f>
        <v>254.575770437463</v>
      </c>
      <c r="E47" s="165" t="n">
        <f aca="true">TABLE($C$41,$O$11,$C47,$O$9,E$41)</f>
        <v>246.457853425245</v>
      </c>
      <c r="F47" s="165" t="n">
        <f aca="true">TABLE($C$41,$O$11,$C47,$O$9,F$41)</f>
        <v>238.745799612543</v>
      </c>
      <c r="G47" s="321" t="n">
        <f aca="true">TABLE($C$41,$O$11,$C47,$O$9,G$41)</f>
        <v>231.415553275977</v>
      </c>
      <c r="H47" s="165" t="n">
        <f aca="true">TABLE($C$41,$O$11,$C47,$O$9,H$41)</f>
        <v>224.444690386917</v>
      </c>
      <c r="I47" s="165" t="n">
        <f aca="true">TABLE($C$41,$O$11,$C47,$O$9,I$41)</f>
        <v>217.812294531747</v>
      </c>
      <c r="J47" s="322" t="n">
        <f aca="true">TABLE($C$41,$O$11,$C47,$O$9,J$41)</f>
        <v>211.498843258017</v>
      </c>
      <c r="K47" s="174"/>
      <c r="L47" s="148"/>
      <c r="M47" s="148"/>
      <c r="N47" s="148"/>
      <c r="O47" s="148"/>
    </row>
    <row r="48" customFormat="false" ht="12.75" hidden="false" customHeight="false" outlineLevel="0" collapsed="false">
      <c r="L48" s="264"/>
      <c r="M48" s="264"/>
      <c r="N48" s="264"/>
      <c r="O48" s="264"/>
    </row>
    <row r="49" customFormat="false" ht="12.75" hidden="false" customHeight="false" outlineLevel="0" collapsed="false">
      <c r="L49" s="264"/>
      <c r="M49" s="264"/>
      <c r="N49" s="264"/>
      <c r="O49" s="264"/>
    </row>
    <row r="50" customFormat="false" ht="12.75" hidden="false" customHeight="false" outlineLevel="0" collapsed="false">
      <c r="L50" s="264"/>
      <c r="M50" s="264"/>
      <c r="N50" s="264"/>
      <c r="O50" s="264"/>
    </row>
    <row r="51" customFormat="false" ht="12.75" hidden="false" customHeight="false" outlineLevel="0" collapsed="false">
      <c r="L51" s="264"/>
      <c r="M51" s="264"/>
      <c r="N51" s="264"/>
      <c r="O51" s="264"/>
    </row>
    <row r="52" customFormat="false" ht="12.75" hidden="false" customHeight="false" outlineLevel="0" collapsed="false">
      <c r="L52" s="264"/>
      <c r="M52" s="264"/>
      <c r="N52" s="264"/>
      <c r="O52" s="264"/>
    </row>
    <row r="53" customFormat="false" ht="12.75" hidden="false" customHeight="false" outlineLevel="0" collapsed="false">
      <c r="L53" s="264"/>
      <c r="M53" s="264"/>
      <c r="N53" s="264"/>
      <c r="O53" s="264"/>
    </row>
    <row r="54" customFormat="false" ht="12.75" hidden="false" customHeight="false" outlineLevel="0" collapsed="false">
      <c r="L54" s="264"/>
      <c r="M54" s="264"/>
      <c r="N54" s="264"/>
      <c r="O54" s="264"/>
    </row>
    <row r="55" customFormat="false" ht="12.75" hidden="false" customHeight="false" outlineLevel="0" collapsed="false">
      <c r="L55" s="264"/>
      <c r="M55" s="264"/>
      <c r="N55" s="264"/>
      <c r="O55" s="264"/>
    </row>
    <row r="56" customFormat="false" ht="12.75" hidden="false" customHeight="false" outlineLevel="0" collapsed="false">
      <c r="L56" s="264"/>
      <c r="M56" s="264"/>
      <c r="N56" s="264"/>
      <c r="O56" s="264"/>
    </row>
  </sheetData>
  <mergeCells count="4">
    <mergeCell ref="D30:J30"/>
    <mergeCell ref="B32:B37"/>
    <mergeCell ref="D40:J40"/>
    <mergeCell ref="B42:B47"/>
  </mergeCells>
  <dataValidations count="2">
    <dataValidation allowBlank="false" errorStyle="stop" operator="between" showDropDown="false" showErrorMessage="true" showInputMessage="false" sqref="O6" type="whole">
      <formula1>0</formula1>
      <formula2>1</formula2>
    </dataValidation>
    <dataValidation allowBlank="true" errorStyle="stop" operator="between" showDropDown="false" showErrorMessage="true" showInputMessage="false" sqref="O8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72" width="2.71"/>
    <col collapsed="false" customWidth="true" hidden="false" outlineLevel="0" max="2" min="2" style="172" width="27.42"/>
    <col collapsed="false" customWidth="true" hidden="false" outlineLevel="0" max="3" min="3" style="172" width="9.71"/>
    <col collapsed="false" customWidth="true" hidden="false" outlineLevel="0" max="4" min="4" style="172" width="9.28"/>
    <col collapsed="false" customWidth="true" hidden="false" outlineLevel="0" max="5" min="5" style="172" width="9.99"/>
    <col collapsed="false" customWidth="false" hidden="false" outlineLevel="0" max="6" min="6" style="172" width="9.14"/>
    <col collapsed="false" customWidth="true" hidden="false" outlineLevel="0" max="7" min="7" style="172" width="9.71"/>
    <col collapsed="false" customWidth="false" hidden="false" outlineLevel="0" max="257" min="8" style="172" width="9.14"/>
  </cols>
  <sheetData>
    <row r="2" customFormat="false" ht="15" hidden="false" customHeight="false" outlineLevel="0" collapsed="false">
      <c r="B2" s="1" t="str">
        <f aca="false">"WACC Analysis - "&amp;TEXT(Company_Name,"")</f>
        <v>WACC Analysis - Apple Inc.</v>
      </c>
      <c r="C2" s="174"/>
      <c r="D2" s="174"/>
      <c r="E2" s="174"/>
      <c r="F2" s="174"/>
      <c r="G2" s="174"/>
      <c r="H2" s="174"/>
      <c r="I2" s="174"/>
      <c r="J2" s="174"/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  <c r="C3" s="174"/>
      <c r="D3" s="174"/>
      <c r="E3" s="174"/>
      <c r="F3" s="174"/>
      <c r="G3" s="174"/>
      <c r="H3" s="174"/>
      <c r="I3" s="174"/>
      <c r="J3" s="174"/>
    </row>
    <row r="4" customFormat="false" ht="15" hidden="false" customHeight="false" outlineLevel="0" collapsed="false">
      <c r="B4" s="174"/>
      <c r="C4" s="174"/>
      <c r="D4" s="174"/>
      <c r="E4" s="174"/>
      <c r="F4" s="174"/>
      <c r="G4" s="174"/>
      <c r="H4" s="174"/>
      <c r="I4" s="174"/>
      <c r="J4" s="174"/>
    </row>
    <row r="5" customFormat="false" ht="15" hidden="false" customHeight="false" outlineLevel="0" collapsed="false">
      <c r="B5" s="135" t="s">
        <v>247</v>
      </c>
      <c r="C5" s="176"/>
      <c r="D5" s="176"/>
      <c r="E5" s="249"/>
      <c r="F5" s="174"/>
      <c r="G5" s="174"/>
      <c r="H5" s="174"/>
      <c r="I5" s="174"/>
      <c r="J5" s="174"/>
    </row>
    <row r="6" customFormat="false" ht="15" hidden="false" customHeight="false" outlineLevel="0" collapsed="false">
      <c r="B6" s="147" t="s">
        <v>248</v>
      </c>
      <c r="C6" s="148"/>
      <c r="D6" s="148"/>
      <c r="E6" s="325" t="n">
        <v>0.0438</v>
      </c>
      <c r="F6" s="174"/>
      <c r="G6" s="174"/>
      <c r="H6" s="174"/>
      <c r="I6" s="174"/>
      <c r="J6" s="174"/>
    </row>
    <row r="7" customFormat="false" ht="15" hidden="false" customHeight="false" outlineLevel="0" collapsed="false">
      <c r="B7" s="147" t="s">
        <v>249</v>
      </c>
      <c r="C7" s="148"/>
      <c r="D7" s="148"/>
      <c r="E7" s="325" t="n">
        <v>0.07</v>
      </c>
      <c r="F7" s="174"/>
      <c r="G7" s="174"/>
      <c r="H7" s="174"/>
      <c r="I7" s="174"/>
      <c r="J7" s="174"/>
    </row>
    <row r="8" customFormat="false" ht="15" hidden="false" customHeight="false" outlineLevel="0" collapsed="false">
      <c r="B8" s="163" t="s">
        <v>250</v>
      </c>
      <c r="C8" s="298"/>
      <c r="D8" s="298"/>
      <c r="E8" s="326" t="n">
        <f aca="false">'AAPL-3-Statements'!I47</f>
        <v>0.09</v>
      </c>
      <c r="F8" s="174"/>
      <c r="G8" s="174"/>
      <c r="H8" s="174"/>
      <c r="I8" s="174"/>
      <c r="J8" s="174"/>
    </row>
    <row r="9" customFormat="false" ht="15" hidden="false" customHeight="false" outlineLevel="0" collapsed="false">
      <c r="B9" s="174"/>
      <c r="C9" s="174"/>
      <c r="D9" s="174"/>
      <c r="E9" s="174"/>
      <c r="F9" s="174"/>
      <c r="G9" s="174"/>
      <c r="H9" s="174"/>
      <c r="I9" s="174"/>
      <c r="J9" s="174"/>
    </row>
    <row r="10" customFormat="false" ht="15" hidden="false" customHeight="false" outlineLevel="0" collapsed="false">
      <c r="B10" s="135" t="s">
        <v>251</v>
      </c>
      <c r="C10" s="176"/>
      <c r="D10" s="176"/>
      <c r="E10" s="176"/>
      <c r="F10" s="176"/>
      <c r="G10" s="249"/>
      <c r="H10" s="174"/>
      <c r="I10" s="174"/>
      <c r="J10" s="327"/>
      <c r="L10" s="328"/>
    </row>
    <row r="11" customFormat="false" ht="15" hidden="false" customHeight="false" outlineLevel="0" collapsed="false">
      <c r="B11" s="234"/>
      <c r="C11" s="139" t="s">
        <v>252</v>
      </c>
      <c r="D11" s="139"/>
      <c r="E11" s="139" t="s">
        <v>176</v>
      </c>
      <c r="F11" s="139"/>
      <c r="G11" s="143" t="s">
        <v>253</v>
      </c>
      <c r="H11" s="174"/>
      <c r="I11" s="174"/>
      <c r="J11" s="327"/>
    </row>
    <row r="12" customFormat="false" ht="15" hidden="false" customHeight="false" outlineLevel="0" collapsed="false">
      <c r="B12" s="144" t="s">
        <v>18</v>
      </c>
      <c r="C12" s="145" t="s">
        <v>254</v>
      </c>
      <c r="D12" s="145" t="s">
        <v>189</v>
      </c>
      <c r="E12" s="145" t="s">
        <v>187</v>
      </c>
      <c r="F12" s="145" t="s">
        <v>255</v>
      </c>
      <c r="G12" s="146" t="s">
        <v>254</v>
      </c>
      <c r="H12" s="174"/>
      <c r="I12" s="174"/>
      <c r="J12" s="174"/>
    </row>
    <row r="13" customFormat="false" ht="15" hidden="false" customHeight="false" outlineLevel="0" collapsed="false">
      <c r="B13" s="147" t="str">
        <f aca="false">'Public Comps'!B8</f>
        <v>Hewlett-Packard Company</v>
      </c>
      <c r="C13" s="329" t="n">
        <v>1.04</v>
      </c>
      <c r="D13" s="330" t="n">
        <f aca="false">'Public Comps'!G8</f>
        <v>15830</v>
      </c>
      <c r="E13" s="330" t="n">
        <f aca="false">'Public Comps'!E8</f>
        <v>114779.15803026</v>
      </c>
      <c r="F13" s="331" t="n">
        <v>0.2</v>
      </c>
      <c r="G13" s="160" t="n">
        <f aca="false">C13/(1+(1-F13)*(D13/E13))</f>
        <v>0.93665541717922</v>
      </c>
      <c r="H13" s="174"/>
      <c r="I13" s="327"/>
      <c r="J13" s="174"/>
    </row>
    <row r="14" customFormat="false" ht="15" hidden="false" customHeight="false" outlineLevel="0" collapsed="false">
      <c r="B14" s="147" t="str">
        <f aca="false">'Public Comps'!B9</f>
        <v>Dell Inc.</v>
      </c>
      <c r="C14" s="329" t="n">
        <v>1.31</v>
      </c>
      <c r="D14" s="332" t="n">
        <f aca="false">'Public Comps'!G9</f>
        <v>3793</v>
      </c>
      <c r="E14" s="332" t="n">
        <f aca="false">'Public Comps'!E9</f>
        <v>25240.8670311</v>
      </c>
      <c r="F14" s="331" t="n">
        <v>0.27</v>
      </c>
      <c r="G14" s="160" t="n">
        <f aca="false">C14/(1+(1-F14)*(D14/E14))</f>
        <v>1.18050062962086</v>
      </c>
      <c r="H14" s="174"/>
      <c r="I14" s="174"/>
      <c r="J14" s="174"/>
    </row>
    <row r="15" customFormat="false" ht="15" hidden="false" customHeight="false" outlineLevel="0" collapsed="false">
      <c r="B15" s="147" t="str">
        <f aca="false">'Public Comps'!B10</f>
        <v>Cisco Systems, Inc.</v>
      </c>
      <c r="C15" s="329" t="n">
        <v>1.23</v>
      </c>
      <c r="D15" s="332" t="n">
        <f aca="false">'Public Comps'!G10</f>
        <v>10273</v>
      </c>
      <c r="E15" s="332" t="n">
        <f aca="false">'Public Comps'!E10</f>
        <v>131739.04050009</v>
      </c>
      <c r="F15" s="331" t="n">
        <v>0.22</v>
      </c>
      <c r="G15" s="160" t="n">
        <f aca="false">C15/(1+(1-F15)*(D15/E15))</f>
        <v>1.15947565991744</v>
      </c>
      <c r="H15" s="174"/>
      <c r="I15" s="174"/>
      <c r="J15" s="174"/>
    </row>
    <row r="16" customFormat="false" ht="15" hidden="false" customHeight="false" outlineLevel="0" collapsed="false">
      <c r="B16" s="147" t="str">
        <f aca="false">'Public Comps'!B11</f>
        <v>Intel Corporation</v>
      </c>
      <c r="C16" s="329" t="n">
        <v>1.17</v>
      </c>
      <c r="D16" s="332" t="n">
        <f aca="false">'Public Comps'!G11</f>
        <v>2224</v>
      </c>
      <c r="E16" s="332" t="n">
        <f aca="false">'Public Comps'!E11</f>
        <v>107224.379</v>
      </c>
      <c r="F16" s="331" t="n">
        <v>0.33</v>
      </c>
      <c r="G16" s="160" t="n">
        <f aca="false">C16/(1+(1-F16)*(D16/E16))</f>
        <v>1.15396355355087</v>
      </c>
      <c r="H16" s="174"/>
      <c r="I16" s="174"/>
      <c r="J16" s="174"/>
    </row>
    <row r="17" customFormat="false" ht="15" hidden="false" customHeight="false" outlineLevel="0" collapsed="false">
      <c r="B17" s="147" t="str">
        <f aca="false">'Public Comps'!B12</f>
        <v>Motorola, Inc.</v>
      </c>
      <c r="C17" s="329" t="n">
        <v>1.87</v>
      </c>
      <c r="D17" s="332" t="n">
        <f aca="false">'Public Comps'!G12</f>
        <v>3925</v>
      </c>
      <c r="E17" s="332" t="n">
        <f aca="false">'Public Comps'!E12</f>
        <v>14239.39694185</v>
      </c>
      <c r="F17" s="331" t="n">
        <v>0.34</v>
      </c>
      <c r="G17" s="160" t="n">
        <f aca="false">C17/(1+(1-F17)*(D17/E17))</f>
        <v>1.58216490411453</v>
      </c>
      <c r="H17" s="174"/>
      <c r="I17" s="174"/>
      <c r="J17" s="174"/>
    </row>
    <row r="18" customFormat="false" ht="15" hidden="false" customHeight="false" outlineLevel="0" collapsed="false">
      <c r="B18" s="147"/>
      <c r="C18" s="148"/>
      <c r="D18" s="148"/>
      <c r="E18" s="148"/>
      <c r="F18" s="148"/>
      <c r="G18" s="149"/>
      <c r="H18" s="174"/>
      <c r="I18" s="174"/>
      <c r="J18" s="174"/>
      <c r="P18" s="333"/>
    </row>
    <row r="19" customFormat="false" ht="15" hidden="false" customHeight="false" outlineLevel="0" collapsed="false">
      <c r="B19" s="334" t="s">
        <v>150</v>
      </c>
      <c r="C19" s="335" t="n">
        <f aca="false">MEDIAN(C13:C17)</f>
        <v>1.23</v>
      </c>
      <c r="D19" s="336"/>
      <c r="E19" s="336"/>
      <c r="F19" s="336"/>
      <c r="G19" s="337" t="n">
        <f aca="false">MEDIAN(G13:G17)</f>
        <v>1.15947565991744</v>
      </c>
      <c r="H19" s="174"/>
      <c r="I19" s="174"/>
      <c r="J19" s="174"/>
    </row>
    <row r="20" customFormat="false" ht="15" hidden="false" customHeight="false" outlineLevel="0" collapsed="false">
      <c r="B20" s="244"/>
      <c r="C20" s="244"/>
      <c r="D20" s="244"/>
      <c r="E20" s="244"/>
      <c r="F20" s="244"/>
      <c r="G20" s="338"/>
      <c r="H20" s="174"/>
      <c r="I20" s="174"/>
      <c r="J20" s="174"/>
    </row>
    <row r="21" customFormat="false" ht="15" hidden="false" customHeight="false" outlineLevel="0" collapsed="false">
      <c r="B21" s="214" t="str">
        <f aca="false">Company_Name</f>
        <v>Apple Inc.</v>
      </c>
      <c r="C21" s="339" t="n">
        <v>1.57</v>
      </c>
      <c r="D21" s="217"/>
      <c r="E21" s="217"/>
      <c r="F21" s="340"/>
      <c r="G21" s="341"/>
      <c r="H21" s="174"/>
      <c r="I21" s="174"/>
      <c r="J21" s="174"/>
    </row>
    <row r="22" customFormat="false" ht="15" hidden="false" customHeight="false" outlineLevel="0" collapsed="false">
      <c r="B22" s="244"/>
      <c r="C22" s="244"/>
      <c r="D22" s="244"/>
      <c r="E22" s="244"/>
      <c r="F22" s="244"/>
      <c r="G22" s="338"/>
      <c r="H22" s="174"/>
      <c r="I22" s="174"/>
      <c r="J22" s="174"/>
    </row>
    <row r="23" customFormat="false" ht="15" hidden="false" customHeight="false" outlineLevel="0" collapsed="false">
      <c r="B23" s="135" t="str">
        <f aca="false">TEXT(Company_Name,"")&amp;" - Levered Beta &amp; WACC Calculation"</f>
        <v>Apple Inc. - Levered Beta &amp; WACC Calculation</v>
      </c>
      <c r="C23" s="176"/>
      <c r="D23" s="176"/>
      <c r="E23" s="176"/>
      <c r="F23" s="176"/>
      <c r="G23" s="176"/>
      <c r="H23" s="176"/>
      <c r="I23" s="176"/>
      <c r="J23" s="249"/>
    </row>
    <row r="24" customFormat="false" ht="15" hidden="false" customHeight="false" outlineLevel="0" collapsed="false">
      <c r="B24" s="234"/>
      <c r="C24" s="139" t="s">
        <v>253</v>
      </c>
      <c r="D24" s="139"/>
      <c r="E24" s="139" t="s">
        <v>176</v>
      </c>
      <c r="F24" s="139"/>
      <c r="G24" s="139" t="s">
        <v>252</v>
      </c>
      <c r="H24" s="139"/>
      <c r="I24" s="139"/>
      <c r="J24" s="143"/>
    </row>
    <row r="25" customFormat="false" ht="15" hidden="false" customHeight="false" outlineLevel="0" collapsed="false">
      <c r="B25" s="144"/>
      <c r="C25" s="145" t="s">
        <v>254</v>
      </c>
      <c r="D25" s="145" t="s">
        <v>189</v>
      </c>
      <c r="E25" s="145" t="s">
        <v>187</v>
      </c>
      <c r="F25" s="145" t="s">
        <v>255</v>
      </c>
      <c r="G25" s="145" t="s">
        <v>254</v>
      </c>
      <c r="H25" s="145"/>
      <c r="I25" s="145"/>
      <c r="J25" s="146"/>
    </row>
    <row r="26" customFormat="false" ht="15" hidden="false" customHeight="false" outlineLevel="0" collapsed="false">
      <c r="B26" s="147"/>
      <c r="C26" s="252"/>
      <c r="D26" s="252"/>
      <c r="E26" s="252"/>
      <c r="F26" s="252"/>
      <c r="G26" s="252"/>
      <c r="H26" s="148"/>
      <c r="I26" s="148"/>
      <c r="J26" s="149"/>
    </row>
    <row r="27" customFormat="false" ht="15" hidden="false" customHeight="false" outlineLevel="0" collapsed="false">
      <c r="B27" s="214" t="str">
        <f aca="false">Company_Name</f>
        <v>Apple Inc.</v>
      </c>
      <c r="C27" s="339" t="n">
        <f aca="false">G19</f>
        <v>1.15947565991744</v>
      </c>
      <c r="D27" s="218" t="n">
        <v>0</v>
      </c>
      <c r="E27" s="217" t="n">
        <f aca="false">Equity_Value</f>
        <v>176796.15127438</v>
      </c>
      <c r="F27" s="340" t="n">
        <f aca="false">Tax_Rate</f>
        <v>0.3</v>
      </c>
      <c r="G27" s="339" t="n">
        <f aca="false">C27*(1+(1-F27)*(D27/E27))</f>
        <v>1.15947565991744</v>
      </c>
      <c r="H27" s="342"/>
      <c r="I27" s="342"/>
      <c r="J27" s="343"/>
    </row>
    <row r="28" customFormat="false" ht="15" hidden="false" customHeight="false" outlineLevel="0" collapsed="false">
      <c r="B28" s="147"/>
      <c r="C28" s="148"/>
      <c r="D28" s="148"/>
      <c r="E28" s="148"/>
      <c r="F28" s="148"/>
      <c r="G28" s="148"/>
      <c r="H28" s="148"/>
      <c r="I28" s="148"/>
      <c r="J28" s="149"/>
    </row>
    <row r="29" customFormat="false" ht="15" hidden="false" customHeight="false" outlineLevel="0" collapsed="false">
      <c r="B29" s="344" t="s">
        <v>256</v>
      </c>
      <c r="C29" s="345"/>
      <c r="D29" s="345"/>
      <c r="E29" s="345"/>
      <c r="F29" s="345"/>
      <c r="G29" s="346" t="n">
        <f aca="false">E6+E7*G27</f>
        <v>0.124963296194221</v>
      </c>
      <c r="H29" s="345"/>
      <c r="I29" s="345"/>
      <c r="J29" s="347"/>
    </row>
    <row r="30" customFormat="false" ht="15" hidden="false" customHeight="false" outlineLevel="0" collapsed="false">
      <c r="B30" s="348" t="s">
        <v>257</v>
      </c>
      <c r="C30" s="349"/>
      <c r="D30" s="349"/>
      <c r="E30" s="349"/>
      <c r="F30" s="349"/>
      <c r="G30" s="350" t="n">
        <f aca="false">E6+E7*C21</f>
        <v>0.1537</v>
      </c>
      <c r="H30" s="349"/>
      <c r="I30" s="349"/>
      <c r="J30" s="351"/>
    </row>
    <row r="31" customFormat="false" ht="15" hidden="false" customHeight="false" outlineLevel="0" collapsed="false">
      <c r="B31" s="147"/>
      <c r="C31" s="148"/>
      <c r="D31" s="148"/>
      <c r="E31" s="148"/>
      <c r="F31" s="148"/>
      <c r="G31" s="148"/>
      <c r="H31" s="148"/>
      <c r="I31" s="148"/>
      <c r="J31" s="149"/>
    </row>
    <row r="32" customFormat="false" ht="15" hidden="false" customHeight="false" outlineLevel="0" collapsed="false">
      <c r="B32" s="147" t="s">
        <v>258</v>
      </c>
      <c r="C32" s="148"/>
      <c r="D32" s="148"/>
      <c r="E32" s="148"/>
      <c r="F32" s="148"/>
      <c r="G32" s="148"/>
      <c r="H32" s="148"/>
      <c r="I32" s="148"/>
      <c r="J32" s="149"/>
    </row>
    <row r="33" customFormat="false" ht="15" hidden="false" customHeight="false" outlineLevel="0" collapsed="false">
      <c r="B33" s="147"/>
      <c r="C33" s="148"/>
      <c r="D33" s="148"/>
      <c r="E33" s="148"/>
      <c r="F33" s="148"/>
      <c r="G33" s="148"/>
      <c r="H33" s="148"/>
      <c r="I33" s="148"/>
      <c r="J33" s="149"/>
    </row>
    <row r="34" customFormat="false" ht="15" hidden="false" customHeight="false" outlineLevel="0" collapsed="false">
      <c r="B34" s="214" t="s">
        <v>259</v>
      </c>
      <c r="C34" s="342"/>
      <c r="D34" s="342"/>
      <c r="E34" s="342"/>
      <c r="F34" s="342"/>
      <c r="G34" s="352" t="n">
        <f aca="false">G29*(E27/(E27+D27))+E8*(D27/(D27+E27))*(1-F27)</f>
        <v>0.124963296194221</v>
      </c>
      <c r="H34" s="342"/>
      <c r="I34" s="342"/>
      <c r="J34" s="3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24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16" activeCellId="0" sqref="B16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6" min="6" style="0" width="9.28"/>
  </cols>
  <sheetData>
    <row r="2" customFormat="false" ht="15" hidden="false" customHeight="false" outlineLevel="0" collapsed="false">
      <c r="B2" s="1" t="str">
        <f aca="false">"Merger Model - "&amp;TEXT(Company_Name,"")&amp;" and "&amp;Seller_Name</f>
        <v>Merger Model - Apple Inc. and Research in Motion Limited</v>
      </c>
    </row>
    <row r="3" customFormat="false" ht="15" hidden="false" customHeight="false" outlineLevel="0" collapsed="false">
      <c r="B3" s="353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260</v>
      </c>
      <c r="C5" s="354"/>
      <c r="D5" s="354"/>
      <c r="E5" s="354"/>
      <c r="F5" s="354"/>
      <c r="G5" s="354"/>
      <c r="H5" s="354"/>
      <c r="I5" s="354"/>
      <c r="J5" s="354"/>
      <c r="K5" s="354"/>
      <c r="L5" s="355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9"/>
    </row>
    <row r="7" customFormat="false" ht="15" hidden="false" customHeight="false" outlineLevel="0" collapsed="false">
      <c r="B7" s="85" t="s">
        <v>261</v>
      </c>
      <c r="C7" s="8"/>
      <c r="D7" s="8"/>
      <c r="E7" s="8"/>
      <c r="F7" s="17" t="n">
        <v>75</v>
      </c>
      <c r="H7" s="8" t="s">
        <v>262</v>
      </c>
      <c r="I7" s="8"/>
      <c r="J7" s="8"/>
      <c r="K7" s="8"/>
      <c r="L7" s="356" t="n">
        <f aca="false">'Merger-Shares-BS'!J15</f>
        <v>43048.9221</v>
      </c>
      <c r="R7" s="29"/>
    </row>
    <row r="8" customFormat="false" ht="15" hidden="false" customHeight="false" outlineLevel="0" collapsed="false">
      <c r="B8" s="7" t="s">
        <v>263</v>
      </c>
      <c r="C8" s="8"/>
      <c r="D8" s="8"/>
      <c r="E8" s="8"/>
      <c r="F8" s="357" t="n">
        <f aca="false">1/3</f>
        <v>0.333333333333333</v>
      </c>
      <c r="H8" s="8" t="s">
        <v>264</v>
      </c>
      <c r="I8" s="8"/>
      <c r="J8" s="8"/>
      <c r="K8" s="8"/>
      <c r="L8" s="271" t="n">
        <f aca="false">F8*L7</f>
        <v>14349.6407</v>
      </c>
    </row>
    <row r="9" customFormat="false" ht="15" hidden="false" customHeight="false" outlineLevel="0" collapsed="false">
      <c r="B9" s="7" t="s">
        <v>265</v>
      </c>
      <c r="C9" s="8"/>
      <c r="D9" s="8"/>
      <c r="E9" s="8"/>
      <c r="F9" s="357" t="n">
        <f aca="false">1/3</f>
        <v>0.333333333333333</v>
      </c>
      <c r="H9" s="8" t="s">
        <v>266</v>
      </c>
      <c r="I9" s="8"/>
      <c r="J9" s="8"/>
      <c r="K9" s="8"/>
      <c r="L9" s="271" t="n">
        <f aca="false">F9*L7</f>
        <v>14349.6407</v>
      </c>
      <c r="R9" s="29"/>
    </row>
    <row r="10" customFormat="false" ht="15" hidden="false" customHeight="false" outlineLevel="0" collapsed="false">
      <c r="B10" s="7" t="s">
        <v>267</v>
      </c>
      <c r="C10" s="8"/>
      <c r="D10" s="8"/>
      <c r="E10" s="8"/>
      <c r="F10" s="357" t="n">
        <f aca="false">1/3</f>
        <v>0.333333333333333</v>
      </c>
      <c r="H10" s="8" t="s">
        <v>268</v>
      </c>
      <c r="I10" s="8"/>
      <c r="J10" s="8"/>
      <c r="K10" s="8"/>
      <c r="L10" s="358" t="n">
        <f aca="false">F10*L7/F34*Units</f>
        <v>74714.3637404978</v>
      </c>
      <c r="N10" s="72"/>
    </row>
    <row r="11" customFormat="false" ht="15" hidden="false" customHeight="false" outlineLevel="0" collapsed="false">
      <c r="B11" s="7" t="s">
        <v>269</v>
      </c>
      <c r="C11" s="8"/>
      <c r="D11" s="8"/>
      <c r="E11" s="8"/>
      <c r="F11" s="359" t="n">
        <f aca="false">'AAPL-3-Statements'!I46</f>
        <v>0.01</v>
      </c>
      <c r="H11" s="360" t="s">
        <v>50</v>
      </c>
      <c r="I11" s="8"/>
      <c r="J11" s="8"/>
      <c r="K11" s="8"/>
      <c r="L11" s="361" t="n">
        <f aca="false">'AAPL-3-Statements'!I47</f>
        <v>0.09</v>
      </c>
      <c r="N11" s="72"/>
    </row>
    <row r="12" customFormat="false" ht="15" hidden="false" customHeight="false" outlineLevel="0" collapsed="false">
      <c r="B12" s="7"/>
      <c r="C12" s="8"/>
      <c r="D12" s="8"/>
      <c r="E12" s="8"/>
      <c r="F12" s="8"/>
      <c r="H12" s="8"/>
      <c r="I12" s="8"/>
      <c r="J12" s="8"/>
      <c r="K12" s="8"/>
      <c r="L12" s="9"/>
    </row>
    <row r="13" customFormat="false" ht="15" hidden="false" customHeight="false" outlineLevel="0" collapsed="false">
      <c r="B13" s="7" t="s">
        <v>270</v>
      </c>
      <c r="C13" s="8"/>
      <c r="D13" s="8"/>
      <c r="E13" s="8"/>
      <c r="F13" s="357" t="n">
        <v>0.1</v>
      </c>
      <c r="H13" s="360" t="s">
        <v>271</v>
      </c>
      <c r="I13" s="8"/>
      <c r="J13" s="8"/>
      <c r="K13" s="8"/>
      <c r="L13" s="362" t="n">
        <v>0.5</v>
      </c>
    </row>
    <row r="14" customFormat="false" ht="15" hidden="false" customHeight="false" outlineLevel="0" collapsed="false">
      <c r="B14" s="63" t="s">
        <v>272</v>
      </c>
      <c r="C14" s="45"/>
      <c r="D14" s="45"/>
      <c r="E14" s="45"/>
      <c r="F14" s="363" t="n">
        <v>0.1</v>
      </c>
      <c r="G14" s="45"/>
      <c r="H14" s="45"/>
      <c r="I14" s="45"/>
      <c r="J14" s="45"/>
      <c r="K14" s="45"/>
      <c r="L14" s="364"/>
    </row>
    <row r="16" customFormat="false" ht="15" hidden="false" customHeight="false" outlineLevel="0" collapsed="false">
      <c r="B16" s="3" t="s">
        <v>273</v>
      </c>
      <c r="C16" s="354"/>
      <c r="D16" s="354"/>
      <c r="E16" s="354"/>
      <c r="F16" s="354"/>
      <c r="G16" s="354"/>
      <c r="H16" s="354"/>
      <c r="I16" s="354"/>
      <c r="J16" s="354"/>
      <c r="K16" s="354"/>
      <c r="L16" s="355"/>
    </row>
    <row r="17" customFormat="false" ht="15" hidden="false" customHeight="false" outlineLevel="0" collapsed="false">
      <c r="B17" s="365"/>
      <c r="C17" s="88"/>
      <c r="D17" s="88"/>
      <c r="E17" s="88"/>
      <c r="F17" s="88"/>
      <c r="G17" s="88"/>
      <c r="H17" s="88"/>
      <c r="I17" s="88"/>
      <c r="J17" s="88"/>
      <c r="K17" s="88"/>
      <c r="L17" s="366"/>
    </row>
    <row r="18" customFormat="false" ht="15" hidden="false" customHeight="false" outlineLevel="0" collapsed="false">
      <c r="B18" s="10" t="s">
        <v>274</v>
      </c>
      <c r="C18" s="88"/>
      <c r="D18" s="88"/>
      <c r="E18" s="88"/>
      <c r="F18" s="88"/>
      <c r="G18" s="88"/>
      <c r="H18" s="12" t="s">
        <v>275</v>
      </c>
      <c r="I18" s="88"/>
      <c r="J18" s="88"/>
      <c r="K18" s="88"/>
      <c r="L18" s="366"/>
    </row>
    <row r="19" customFormat="false" ht="15" hidden="false" customHeight="false" outlineLevel="0" collapsed="false">
      <c r="B19" s="26" t="s">
        <v>262</v>
      </c>
      <c r="C19" s="88"/>
      <c r="D19" s="88"/>
      <c r="E19" s="88"/>
      <c r="F19" s="270" t="n">
        <f aca="false">L7</f>
        <v>43048.9221</v>
      </c>
      <c r="G19" s="88"/>
      <c r="H19" s="8" t="s">
        <v>276</v>
      </c>
      <c r="I19" s="88"/>
      <c r="J19" s="88"/>
      <c r="K19" s="88"/>
      <c r="L19" s="367" t="n">
        <v>0.1</v>
      </c>
    </row>
    <row r="20" customFormat="false" ht="15" hidden="false" customHeight="false" outlineLevel="0" collapsed="false">
      <c r="B20" s="26" t="s">
        <v>277</v>
      </c>
      <c r="C20" s="88"/>
      <c r="D20" s="88"/>
      <c r="E20" s="88"/>
      <c r="F20" s="270" t="n">
        <f aca="false">-'Merger-Shares-BS'!J62</f>
        <v>-6986.62</v>
      </c>
      <c r="G20" s="88"/>
      <c r="H20" s="360" t="s">
        <v>278</v>
      </c>
      <c r="I20" s="88"/>
      <c r="J20" s="88"/>
      <c r="K20" s="88"/>
      <c r="L20" s="271" t="n">
        <f aca="false">L19*'Merger-Shares-BS'!J36</f>
        <v>173.7403</v>
      </c>
    </row>
    <row r="21" customFormat="false" ht="15" hidden="false" customHeight="false" outlineLevel="0" collapsed="false">
      <c r="B21" s="368" t="s">
        <v>279</v>
      </c>
      <c r="C21" s="88"/>
      <c r="D21" s="88"/>
      <c r="E21" s="88"/>
      <c r="F21" s="259" t="n">
        <f aca="false">'Merger-Shares-BS'!J37</f>
        <v>146.557</v>
      </c>
      <c r="G21" s="88"/>
      <c r="H21" s="360" t="s">
        <v>280</v>
      </c>
      <c r="I21" s="88"/>
      <c r="J21" s="88"/>
      <c r="K21" s="88"/>
      <c r="L21" s="369" t="n">
        <v>8</v>
      </c>
    </row>
    <row r="22" customFormat="false" ht="15" hidden="false" customHeight="false" outlineLevel="0" collapsed="false">
      <c r="B22" s="80" t="s">
        <v>281</v>
      </c>
      <c r="C22" s="88"/>
      <c r="D22" s="88"/>
      <c r="E22" s="88"/>
      <c r="F22" s="370" t="n">
        <f aca="false">F19+F20+F21</f>
        <v>36208.8591</v>
      </c>
      <c r="G22" s="88"/>
      <c r="H22" s="360"/>
      <c r="I22" s="2"/>
      <c r="J22" s="2"/>
      <c r="K22" s="2"/>
      <c r="L22" s="369"/>
    </row>
    <row r="23" customFormat="false" ht="15" hidden="false" customHeight="false" outlineLevel="0" collapsed="false">
      <c r="B23" s="365"/>
      <c r="C23" s="2"/>
      <c r="D23" s="2"/>
      <c r="E23" s="2"/>
      <c r="F23" s="2"/>
      <c r="G23" s="88"/>
      <c r="H23" s="12" t="s">
        <v>282</v>
      </c>
      <c r="I23" s="88"/>
      <c r="J23" s="88"/>
      <c r="K23" s="88"/>
      <c r="L23" s="366"/>
    </row>
    <row r="24" customFormat="false" ht="15" hidden="false" customHeight="false" outlineLevel="0" collapsed="false">
      <c r="B24" s="26" t="s">
        <v>283</v>
      </c>
      <c r="C24" s="88"/>
      <c r="D24" s="88"/>
      <c r="E24" s="88"/>
      <c r="F24" s="270" t="n">
        <f aca="false">-L20</f>
        <v>-173.7403</v>
      </c>
      <c r="G24" s="88"/>
      <c r="H24" s="0" t="s">
        <v>284</v>
      </c>
      <c r="I24" s="88"/>
      <c r="J24" s="88"/>
      <c r="K24" s="88"/>
      <c r="L24" s="271" t="n">
        <f aca="false">F22</f>
        <v>36208.8591</v>
      </c>
    </row>
    <row r="25" customFormat="false" ht="15" hidden="false" customHeight="false" outlineLevel="0" collapsed="false">
      <c r="B25" s="26" t="s">
        <v>285</v>
      </c>
      <c r="C25" s="88"/>
      <c r="D25" s="88"/>
      <c r="E25" s="88"/>
      <c r="F25" s="270" t="n">
        <f aca="false">-L26</f>
        <v>-7241.77182</v>
      </c>
      <c r="G25" s="88"/>
      <c r="H25" s="371" t="s">
        <v>286</v>
      </c>
      <c r="I25" s="88"/>
      <c r="J25" s="88"/>
      <c r="K25" s="88"/>
      <c r="L25" s="367" t="n">
        <v>0.2</v>
      </c>
    </row>
    <row r="26" customFormat="false" ht="15" hidden="false" customHeight="false" outlineLevel="0" collapsed="false">
      <c r="B26" s="26" t="s">
        <v>287</v>
      </c>
      <c r="F26" s="29" t="n">
        <f aca="false">-'Merger-Shares-BS'!J52</f>
        <v>-43.265</v>
      </c>
      <c r="G26" s="88"/>
      <c r="H26" s="360" t="s">
        <v>288</v>
      </c>
      <c r="I26" s="88"/>
      <c r="J26" s="88"/>
      <c r="K26" s="88"/>
      <c r="L26" s="271" t="n">
        <f aca="false">L25*L24</f>
        <v>7241.77182</v>
      </c>
    </row>
    <row r="27" customFormat="false" ht="15" hidden="false" customHeight="false" outlineLevel="0" collapsed="false">
      <c r="B27" s="26" t="s">
        <v>289</v>
      </c>
      <c r="C27" s="88"/>
      <c r="D27" s="88"/>
      <c r="E27" s="88"/>
      <c r="F27" s="270" t="n">
        <f aca="false">L29</f>
        <v>2224.653636</v>
      </c>
      <c r="G27" s="88"/>
      <c r="H27" s="360" t="s">
        <v>290</v>
      </c>
      <c r="I27" s="88"/>
      <c r="J27" s="88"/>
      <c r="K27" s="88"/>
      <c r="L27" s="369" t="n">
        <v>5</v>
      </c>
    </row>
    <row r="28" customFormat="false" ht="15" hidden="false" customHeight="false" outlineLevel="0" collapsed="false">
      <c r="B28" s="80" t="s">
        <v>291</v>
      </c>
      <c r="C28" s="88"/>
      <c r="D28" s="88"/>
      <c r="E28" s="88"/>
      <c r="F28" s="370" t="n">
        <f aca="false">F22+F24+F25+F26+F27</f>
        <v>30974.735616</v>
      </c>
      <c r="G28" s="88"/>
      <c r="H28" s="360"/>
      <c r="I28" s="88"/>
      <c r="J28" s="88"/>
      <c r="K28" s="88"/>
      <c r="L28" s="369"/>
    </row>
    <row r="29" customFormat="false" ht="15" hidden="false" customHeight="false" outlineLevel="0" collapsed="false">
      <c r="B29" s="63"/>
      <c r="C29" s="45"/>
      <c r="D29" s="45"/>
      <c r="E29" s="45"/>
      <c r="F29" s="45"/>
      <c r="G29" s="92"/>
      <c r="H29" s="372" t="s">
        <v>292</v>
      </c>
      <c r="I29" s="92"/>
      <c r="J29" s="92"/>
      <c r="K29" s="92"/>
      <c r="L29" s="373" t="n">
        <f aca="false">(L26+L20)*Tax_Rate</f>
        <v>2224.653636</v>
      </c>
    </row>
    <row r="30" customFormat="false" ht="15" hidden="false" customHeight="false" outlineLevel="0" collapsed="false">
      <c r="B30" s="372"/>
      <c r="C30" s="88"/>
      <c r="D30" s="88"/>
      <c r="E30" s="88"/>
      <c r="F30" s="295"/>
      <c r="G30" s="88"/>
      <c r="H30" s="88"/>
      <c r="I30" s="88"/>
      <c r="J30" s="88"/>
      <c r="K30" s="88"/>
      <c r="L30" s="88"/>
    </row>
    <row r="31" customFormat="false" ht="15" hidden="false" customHeight="false" outlineLevel="0" collapsed="false">
      <c r="B31" s="3" t="s">
        <v>293</v>
      </c>
      <c r="C31" s="354"/>
      <c r="D31" s="354"/>
      <c r="E31" s="354"/>
      <c r="F31" s="355"/>
      <c r="H31" s="3" t="s">
        <v>294</v>
      </c>
      <c r="I31" s="354"/>
      <c r="J31" s="354"/>
      <c r="K31" s="354"/>
      <c r="L31" s="355"/>
    </row>
    <row r="32" customFormat="false" ht="15" hidden="false" customHeight="false" outlineLevel="0" collapsed="false">
      <c r="B32" s="365"/>
      <c r="C32" s="88"/>
      <c r="D32" s="88"/>
      <c r="E32" s="88"/>
      <c r="F32" s="374"/>
      <c r="H32" s="365"/>
      <c r="I32" s="88"/>
      <c r="J32" s="88"/>
      <c r="K32" s="88"/>
      <c r="L32" s="374"/>
    </row>
    <row r="33" customFormat="false" ht="15" hidden="false" customHeight="false" outlineLevel="0" collapsed="false">
      <c r="B33" s="7" t="s">
        <v>295</v>
      </c>
      <c r="C33" s="8"/>
      <c r="D33" s="8"/>
      <c r="E33" s="8"/>
      <c r="F33" s="375" t="str">
        <f aca="false">Company_Name</f>
        <v>Apple Inc.</v>
      </c>
      <c r="H33" s="7" t="s">
        <v>296</v>
      </c>
      <c r="I33" s="88"/>
      <c r="J33" s="88"/>
      <c r="K33" s="88"/>
      <c r="L33" s="375" t="str">
        <f aca="false">Seller_Name</f>
        <v>Research in Motion Limited</v>
      </c>
    </row>
    <row r="34" customFormat="false" ht="15" hidden="false" customHeight="false" outlineLevel="0" collapsed="false">
      <c r="B34" s="7" t="s">
        <v>9</v>
      </c>
      <c r="C34" s="88"/>
      <c r="D34" s="88"/>
      <c r="E34" s="88"/>
      <c r="F34" s="376" t="n">
        <f aca="false">Share_Price</f>
        <v>192.06</v>
      </c>
      <c r="H34" s="7" t="s">
        <v>9</v>
      </c>
      <c r="I34" s="88"/>
      <c r="J34" s="88"/>
      <c r="K34" s="88"/>
      <c r="L34" s="376" t="n">
        <f aca="false">Seller_Share_Price</f>
        <v>62.91</v>
      </c>
      <c r="N34" s="72"/>
    </row>
    <row r="35" customFormat="false" ht="15" hidden="false" customHeight="false" outlineLevel="0" collapsed="false">
      <c r="B35" s="7" t="s">
        <v>15</v>
      </c>
      <c r="C35" s="88"/>
      <c r="D35" s="88"/>
      <c r="E35" s="88"/>
      <c r="F35" s="377" t="n">
        <f aca="false">Diluted_Shares</f>
        <v>920525.623630012</v>
      </c>
      <c r="H35" s="7" t="s">
        <v>15</v>
      </c>
      <c r="I35" s="88"/>
      <c r="J35" s="88"/>
      <c r="K35" s="88"/>
      <c r="L35" s="378" t="n">
        <f aca="false">'Merger-Shares-BS'!E14</f>
        <v>572950.863137816</v>
      </c>
    </row>
    <row r="36" customFormat="false" ht="15" hidden="false" customHeight="false" outlineLevel="0" collapsed="false">
      <c r="B36" s="7" t="s">
        <v>17</v>
      </c>
      <c r="C36" s="88"/>
      <c r="D36" s="88"/>
      <c r="E36" s="88"/>
      <c r="F36" s="379" t="n">
        <f aca="false">Equity_Value</f>
        <v>176796.15127438</v>
      </c>
      <c r="H36" s="7" t="s">
        <v>17</v>
      </c>
      <c r="I36" s="88"/>
      <c r="J36" s="88"/>
      <c r="K36" s="88"/>
      <c r="L36" s="356" t="n">
        <f aca="false">'Merger-Shares-BS'!E15</f>
        <v>36044.3388</v>
      </c>
    </row>
    <row r="37" customFormat="false" ht="15" hidden="false" customHeight="false" outlineLevel="0" collapsed="false">
      <c r="B37" s="7" t="s">
        <v>32</v>
      </c>
      <c r="C37" s="88"/>
      <c r="D37" s="88"/>
      <c r="E37" s="88"/>
      <c r="F37" s="379" t="n">
        <f aca="false">Enterprise_Value</f>
        <v>141401.15127438</v>
      </c>
      <c r="H37" s="7" t="s">
        <v>32</v>
      </c>
      <c r="I37" s="88"/>
      <c r="J37" s="88"/>
      <c r="K37" s="88"/>
      <c r="L37" s="356" t="n">
        <f aca="false">'Merger-Shares-BS'!E21</f>
        <v>33546.5918</v>
      </c>
    </row>
    <row r="38" customFormat="false" ht="15" hidden="false" customHeight="false" outlineLevel="0" collapsed="false">
      <c r="B38" s="63" t="s">
        <v>11</v>
      </c>
      <c r="C38" s="92"/>
      <c r="D38" s="92"/>
      <c r="E38" s="92"/>
      <c r="F38" s="380" t="n">
        <f aca="false">Tax_Rate</f>
        <v>0.3</v>
      </c>
      <c r="H38" s="63" t="s">
        <v>11</v>
      </c>
      <c r="I38" s="92"/>
      <c r="J38" s="92"/>
      <c r="K38" s="92"/>
      <c r="L38" s="381" t="n">
        <f aca="false">'Merger-Shares-BS'!J9</f>
        <v>0.28</v>
      </c>
      <c r="O38" s="103"/>
    </row>
    <row r="40" customFormat="false" ht="15" hidden="false" customHeight="false" outlineLevel="0" collapsed="false">
      <c r="B40" s="3" t="s">
        <v>297</v>
      </c>
      <c r="C40" s="354"/>
      <c r="D40" s="354"/>
      <c r="E40" s="354"/>
      <c r="F40" s="355"/>
      <c r="H40" s="3" t="s">
        <v>298</v>
      </c>
      <c r="I40" s="354"/>
      <c r="J40" s="354"/>
      <c r="K40" s="354"/>
      <c r="L40" s="355"/>
    </row>
    <row r="41" customFormat="false" ht="15" hidden="false" customHeight="false" outlineLevel="0" collapsed="false">
      <c r="B41" s="7"/>
      <c r="C41" s="8"/>
      <c r="D41" s="8"/>
      <c r="E41" s="8"/>
      <c r="F41" s="9"/>
      <c r="H41" s="7"/>
      <c r="I41" s="8"/>
      <c r="J41" s="8"/>
      <c r="K41" s="8"/>
      <c r="L41" s="9"/>
    </row>
    <row r="42" customFormat="false" ht="15" hidden="false" customHeight="false" outlineLevel="0" collapsed="false">
      <c r="B42" s="7"/>
      <c r="C42" s="8"/>
      <c r="D42" s="8"/>
      <c r="E42" s="25" t="str">
        <f aca="false">'AAPL-3-Statements'!I96</f>
        <v>FY 2010E</v>
      </c>
      <c r="F42" s="382" t="str">
        <f aca="false">'AAPL-3-Statements'!J96</f>
        <v>FY 2011E</v>
      </c>
      <c r="H42" s="7"/>
      <c r="I42" s="8"/>
      <c r="J42" s="8"/>
      <c r="K42" s="25" t="str">
        <f aca="false">E42</f>
        <v>FY 2010E</v>
      </c>
      <c r="L42" s="382" t="str">
        <f aca="false">F42</f>
        <v>FY 2011E</v>
      </c>
    </row>
    <row r="43" customFormat="false" ht="15" hidden="false" customHeight="false" outlineLevel="0" collapsed="false">
      <c r="B43" s="10" t="s">
        <v>63</v>
      </c>
      <c r="C43" s="8"/>
      <c r="D43" s="8"/>
      <c r="E43" s="100" t="n">
        <f aca="false">'AAPL-3-Statements'!I66</f>
        <v>53631.25</v>
      </c>
      <c r="F43" s="383" t="n">
        <f aca="false">'AAPL-3-Statements'!J66</f>
        <v>62748.5625</v>
      </c>
      <c r="H43" s="10" t="s">
        <v>63</v>
      </c>
      <c r="I43" s="8"/>
      <c r="J43" s="8"/>
      <c r="K43" s="68" t="n">
        <v>17231</v>
      </c>
      <c r="L43" s="384" t="n">
        <v>20868</v>
      </c>
    </row>
    <row r="44" customFormat="false" ht="15" hidden="false" customHeight="false" outlineLevel="0" collapsed="false">
      <c r="B44" s="7" t="s">
        <v>64</v>
      </c>
      <c r="C44" s="8"/>
      <c r="D44" s="8"/>
      <c r="E44" s="102" t="n">
        <f aca="false">'AAPL-3-Statements'!I67</f>
        <v>31655.4166666667</v>
      </c>
      <c r="F44" s="356" t="n">
        <f aca="false">'AAPL-3-Statements'!J67</f>
        <v>37036.8375</v>
      </c>
      <c r="H44" s="7" t="s">
        <v>64</v>
      </c>
      <c r="I44" s="8"/>
      <c r="J44" s="8"/>
      <c r="K44" s="30" t="n">
        <v>9755</v>
      </c>
      <c r="L44" s="15" t="n">
        <v>11868.5</v>
      </c>
    </row>
    <row r="45" customFormat="false" ht="15" hidden="false" customHeight="false" outlineLevel="0" collapsed="false">
      <c r="B45" s="74" t="s">
        <v>65</v>
      </c>
      <c r="C45" s="8"/>
      <c r="D45" s="8"/>
      <c r="E45" s="75" t="n">
        <f aca="false">E43-E44</f>
        <v>21975.8333333333</v>
      </c>
      <c r="F45" s="76" t="n">
        <f aca="false">F43-F44</f>
        <v>25711.725</v>
      </c>
      <c r="H45" s="74" t="s">
        <v>65</v>
      </c>
      <c r="I45" s="8"/>
      <c r="J45" s="8"/>
      <c r="K45" s="75" t="n">
        <f aca="false">K43-K44</f>
        <v>7476</v>
      </c>
      <c r="L45" s="76" t="n">
        <f aca="false">L43-L44</f>
        <v>8999.5</v>
      </c>
    </row>
    <row r="46" customFormat="false" ht="15" hidden="false" customHeight="false" outlineLevel="0" collapsed="false">
      <c r="B46" s="7"/>
      <c r="C46" s="8"/>
      <c r="D46" s="8"/>
      <c r="E46" s="8"/>
      <c r="F46" s="9"/>
      <c r="H46" s="7"/>
      <c r="I46" s="8"/>
      <c r="J46" s="8"/>
      <c r="K46" s="8"/>
      <c r="L46" s="9"/>
    </row>
    <row r="47" customFormat="false" ht="15" hidden="false" customHeight="false" outlineLevel="0" collapsed="false">
      <c r="B47" s="80" t="s">
        <v>66</v>
      </c>
      <c r="C47" s="8"/>
      <c r="D47" s="8"/>
      <c r="E47" s="100" t="n">
        <f aca="false">'AAPL-3-Statements'!I72</f>
        <v>5495.83333333333</v>
      </c>
      <c r="F47" s="101" t="n">
        <f aca="false">'AAPL-3-Statements'!J72</f>
        <v>6430.125</v>
      </c>
      <c r="H47" s="80" t="s">
        <v>66</v>
      </c>
      <c r="I47" s="8"/>
      <c r="J47" s="8"/>
      <c r="K47" s="68" t="n">
        <v>2697.532</v>
      </c>
      <c r="L47" s="69" t="n">
        <v>3258.96</v>
      </c>
    </row>
    <row r="48" customFormat="false" ht="15" hidden="false" customHeight="false" outlineLevel="0" collapsed="false">
      <c r="B48" s="80"/>
      <c r="C48" s="8"/>
      <c r="D48" s="8"/>
      <c r="E48" s="8"/>
      <c r="F48" s="9"/>
      <c r="H48" s="80"/>
      <c r="I48" s="8"/>
      <c r="J48" s="8"/>
      <c r="K48" s="8"/>
      <c r="L48" s="9"/>
    </row>
    <row r="49" customFormat="false" ht="15" hidden="false" customHeight="false" outlineLevel="0" collapsed="false">
      <c r="B49" s="26" t="s">
        <v>299</v>
      </c>
      <c r="C49" s="8"/>
      <c r="D49" s="8"/>
      <c r="E49" s="102" t="n">
        <f aca="false">'AAPL-3-Statements'!I74</f>
        <v>917.5</v>
      </c>
      <c r="F49" s="356" t="n">
        <f aca="false">'AAPL-3-Statements'!J74</f>
        <v>1073.475</v>
      </c>
      <c r="H49" s="26" t="s">
        <v>299</v>
      </c>
      <c r="I49" s="8"/>
      <c r="J49" s="8"/>
      <c r="K49" s="30" t="n">
        <v>430.775</v>
      </c>
      <c r="L49" s="15" t="n">
        <v>563.436</v>
      </c>
    </row>
    <row r="50" customFormat="false" ht="15" hidden="false" customHeight="false" outlineLevel="0" collapsed="false">
      <c r="B50" s="26" t="s">
        <v>55</v>
      </c>
      <c r="C50" s="8"/>
      <c r="D50" s="8"/>
      <c r="E50" s="102" t="n">
        <f aca="false">'AAPL-3-Statements'!I75</f>
        <v>40</v>
      </c>
      <c r="F50" s="356" t="n">
        <f aca="false">'AAPL-3-Statements'!J75</f>
        <v>37</v>
      </c>
      <c r="H50" s="26" t="s">
        <v>55</v>
      </c>
      <c r="I50" s="8"/>
      <c r="J50" s="8"/>
      <c r="K50" s="30" t="n">
        <v>359</v>
      </c>
      <c r="L50" s="15" t="n">
        <v>433</v>
      </c>
    </row>
    <row r="51" customFormat="false" ht="15" hidden="false" customHeight="false" outlineLevel="0" collapsed="false">
      <c r="B51" s="26" t="s">
        <v>71</v>
      </c>
      <c r="C51" s="8"/>
      <c r="D51" s="8"/>
      <c r="E51" s="102" t="n">
        <f aca="false">'AAPL-3-Statements'!I76</f>
        <v>887.5</v>
      </c>
      <c r="F51" s="356" t="n">
        <f aca="false">'AAPL-3-Statements'!J76</f>
        <v>1038.375</v>
      </c>
      <c r="H51" s="26" t="s">
        <v>71</v>
      </c>
      <c r="I51" s="8"/>
      <c r="J51" s="8"/>
      <c r="K51" s="30" t="n">
        <v>51.693</v>
      </c>
      <c r="L51" s="15" t="n">
        <v>62.604</v>
      </c>
    </row>
    <row r="52" customFormat="false" ht="15" hidden="false" customHeight="false" outlineLevel="0" collapsed="false">
      <c r="B52" s="7"/>
      <c r="C52" s="8"/>
      <c r="D52" s="8"/>
      <c r="E52" s="8"/>
      <c r="F52" s="9"/>
      <c r="H52" s="7"/>
      <c r="I52" s="8"/>
      <c r="J52" s="8"/>
      <c r="K52" s="8"/>
      <c r="L52" s="9"/>
    </row>
    <row r="53" customFormat="false" ht="15" hidden="false" customHeight="false" outlineLevel="0" collapsed="false">
      <c r="B53" s="80" t="s">
        <v>72</v>
      </c>
      <c r="C53" s="8"/>
      <c r="D53" s="8"/>
      <c r="E53" s="75" t="n">
        <f aca="false">E45-E47-E49-E50-E51</f>
        <v>14635</v>
      </c>
      <c r="F53" s="76" t="n">
        <f aca="false">F45-F47-F49-F50-F51</f>
        <v>17132.75</v>
      </c>
      <c r="H53" s="80" t="s">
        <v>72</v>
      </c>
      <c r="I53" s="8"/>
      <c r="J53" s="8"/>
      <c r="K53" s="75" t="n">
        <f aca="false">K45-K47-K49-K50-K51</f>
        <v>3937</v>
      </c>
      <c r="L53" s="76" t="n">
        <f aca="false">L45-L47-L49-L50-L51</f>
        <v>4681.5</v>
      </c>
    </row>
    <row r="54" customFormat="false" ht="15" hidden="false" customHeight="false" outlineLevel="0" collapsed="false">
      <c r="B54" s="26" t="s">
        <v>300</v>
      </c>
      <c r="C54" s="8"/>
      <c r="D54" s="8"/>
      <c r="E54" s="83" t="n">
        <f aca="false">SUM('AAPL-3-Statements'!I79:I81)</f>
        <v>379.253637732062</v>
      </c>
      <c r="F54" s="84" t="n">
        <f aca="false">SUM('AAPL-3-Statements'!J79:J81)</f>
        <v>477.649360726668</v>
      </c>
      <c r="H54" s="26" t="s">
        <v>300</v>
      </c>
      <c r="I54" s="8"/>
      <c r="J54" s="8"/>
      <c r="K54" s="30" t="n">
        <v>25</v>
      </c>
      <c r="L54" s="15" t="n">
        <v>32.5</v>
      </c>
    </row>
    <row r="55" customFormat="false" ht="15" hidden="false" customHeight="false" outlineLevel="0" collapsed="false">
      <c r="B55" s="80" t="s">
        <v>76</v>
      </c>
      <c r="C55" s="8"/>
      <c r="D55" s="8"/>
      <c r="E55" s="75" t="n">
        <f aca="false">E53+E54</f>
        <v>15014.2536377321</v>
      </c>
      <c r="F55" s="76" t="n">
        <f aca="false">F53+F54</f>
        <v>17610.3993607267</v>
      </c>
      <c r="H55" s="80" t="s">
        <v>76</v>
      </c>
      <c r="I55" s="8"/>
      <c r="J55" s="8"/>
      <c r="K55" s="75" t="n">
        <f aca="false">K53+K54</f>
        <v>3962</v>
      </c>
      <c r="L55" s="76" t="n">
        <f aca="false">L53+L54</f>
        <v>4714</v>
      </c>
    </row>
    <row r="56" customFormat="false" ht="15" hidden="false" customHeight="false" outlineLevel="0" collapsed="false">
      <c r="B56" s="85" t="s">
        <v>77</v>
      </c>
      <c r="C56" s="8"/>
      <c r="D56" s="8"/>
      <c r="E56" s="83" t="n">
        <f aca="false">E55*$F$38</f>
        <v>4504.27609131962</v>
      </c>
      <c r="F56" s="84" t="n">
        <f aca="false">F55*$F$38</f>
        <v>5283.119808218</v>
      </c>
      <c r="H56" s="85" t="s">
        <v>77</v>
      </c>
      <c r="I56" s="8"/>
      <c r="J56" s="8"/>
      <c r="K56" s="30" t="n">
        <v>1148</v>
      </c>
      <c r="L56" s="15" t="n">
        <v>1343</v>
      </c>
    </row>
    <row r="57" customFormat="false" ht="15" hidden="false" customHeight="false" outlineLevel="0" collapsed="false">
      <c r="B57" s="7"/>
      <c r="C57" s="8"/>
      <c r="D57" s="8"/>
      <c r="E57" s="8"/>
      <c r="F57" s="9"/>
      <c r="H57" s="7"/>
      <c r="I57" s="8"/>
      <c r="J57" s="8"/>
      <c r="K57" s="8"/>
      <c r="L57" s="9"/>
    </row>
    <row r="58" customFormat="false" ht="15" hidden="false" customHeight="false" outlineLevel="0" collapsed="false">
      <c r="B58" s="80" t="s">
        <v>78</v>
      </c>
      <c r="C58" s="8"/>
      <c r="D58" s="8"/>
      <c r="E58" s="75" t="n">
        <f aca="false">E55-E56</f>
        <v>10509.9775464124</v>
      </c>
      <c r="F58" s="76" t="n">
        <f aca="false">F55-F56</f>
        <v>12327.2795525087</v>
      </c>
      <c r="H58" s="80" t="s">
        <v>78</v>
      </c>
      <c r="I58" s="8"/>
      <c r="J58" s="8"/>
      <c r="K58" s="75" t="n">
        <f aca="false">K55-K56</f>
        <v>2814</v>
      </c>
      <c r="L58" s="76" t="n">
        <f aca="false">L55-L56</f>
        <v>3371</v>
      </c>
    </row>
    <row r="59" customFormat="false" ht="15" hidden="false" customHeight="false" outlineLevel="0" collapsed="false">
      <c r="B59" s="26"/>
      <c r="C59" s="8"/>
      <c r="D59" s="8"/>
      <c r="E59" s="8"/>
      <c r="F59" s="9"/>
      <c r="H59" s="26"/>
      <c r="I59" s="8"/>
      <c r="J59" s="8"/>
      <c r="K59" s="8"/>
      <c r="L59" s="9"/>
    </row>
    <row r="60" customFormat="false" ht="15" hidden="false" customHeight="false" outlineLevel="0" collapsed="false">
      <c r="B60" s="80" t="s">
        <v>79</v>
      </c>
      <c r="C60" s="8"/>
      <c r="D60" s="8"/>
      <c r="E60" s="86" t="n">
        <f aca="false">E58*Units/E61</f>
        <v>11.5875629642752</v>
      </c>
      <c r="F60" s="87" t="n">
        <f aca="false">F58*Units/F61</f>
        <v>13.5911924989484</v>
      </c>
      <c r="H60" s="80" t="s">
        <v>79</v>
      </c>
      <c r="I60" s="8"/>
      <c r="J60" s="8"/>
      <c r="K60" s="86" t="n">
        <f aca="false">K58*Units/K61</f>
        <v>5.025</v>
      </c>
      <c r="L60" s="87" t="n">
        <f aca="false">L58*Units/L61</f>
        <v>6.01964285714286</v>
      </c>
    </row>
    <row r="61" customFormat="false" ht="15" hidden="false" customHeight="false" outlineLevel="0" collapsed="false">
      <c r="B61" s="385" t="s">
        <v>15</v>
      </c>
      <c r="C61" s="45"/>
      <c r="D61" s="45"/>
      <c r="E61" s="386" t="n">
        <f aca="false">'AAPL-3-Statements'!I88</f>
        <v>907005</v>
      </c>
      <c r="F61" s="387" t="n">
        <f aca="false">'AAPL-3-Statements'!J88</f>
        <v>907005</v>
      </c>
      <c r="H61" s="385" t="s">
        <v>15</v>
      </c>
      <c r="I61" s="45"/>
      <c r="J61" s="45"/>
      <c r="K61" s="93" t="n">
        <v>560000</v>
      </c>
      <c r="L61" s="388" t="n">
        <v>560000</v>
      </c>
    </row>
    <row r="63" customFormat="false" ht="15" hidden="false" customHeight="false" outlineLevel="0" collapsed="false">
      <c r="B63" s="3" t="s">
        <v>301</v>
      </c>
      <c r="C63" s="354"/>
      <c r="D63" s="354"/>
      <c r="E63" s="354"/>
      <c r="F63" s="355"/>
    </row>
    <row r="64" customFormat="false" ht="15" hidden="false" customHeight="false" outlineLevel="0" collapsed="false">
      <c r="B64" s="7"/>
      <c r="C64" s="8"/>
      <c r="D64" s="8"/>
      <c r="E64" s="8"/>
      <c r="F64" s="9"/>
    </row>
    <row r="65" customFormat="false" ht="15" hidden="false" customHeight="false" outlineLevel="0" collapsed="false">
      <c r="B65" s="7"/>
      <c r="C65" s="8"/>
      <c r="D65" s="8"/>
      <c r="E65" s="25" t="str">
        <f aca="false">E42</f>
        <v>FY 2010E</v>
      </c>
      <c r="F65" s="382" t="str">
        <f aca="false">F42</f>
        <v>FY 2011E</v>
      </c>
    </row>
    <row r="66" customFormat="false" ht="15" hidden="false" customHeight="false" outlineLevel="0" collapsed="false">
      <c r="B66" s="10" t="s">
        <v>302</v>
      </c>
      <c r="C66" s="8"/>
      <c r="D66" s="8"/>
      <c r="E66" s="70" t="n">
        <f aca="false">E43+K43</f>
        <v>70862.25</v>
      </c>
      <c r="F66" s="108" t="n">
        <f aca="false">F43+L43</f>
        <v>83616.5625</v>
      </c>
    </row>
    <row r="67" customFormat="false" ht="15" hidden="false" customHeight="false" outlineLevel="0" collapsed="false">
      <c r="B67" s="389" t="s">
        <v>303</v>
      </c>
      <c r="C67" s="390"/>
      <c r="D67" s="390"/>
      <c r="E67" s="391" t="n">
        <f aca="false">K43*$F$13</f>
        <v>1723.1</v>
      </c>
      <c r="F67" s="392" t="n">
        <f aca="false">L43*$F$13</f>
        <v>2086.8</v>
      </c>
    </row>
    <row r="68" customFormat="false" ht="15" hidden="false" customHeight="false" outlineLevel="0" collapsed="false">
      <c r="B68" s="7" t="s">
        <v>64</v>
      </c>
      <c r="C68" s="8"/>
      <c r="D68" s="8"/>
      <c r="E68" s="20" t="n">
        <f aca="false">E44+K44</f>
        <v>41410.4166666667</v>
      </c>
      <c r="F68" s="73" t="n">
        <f aca="false">F44+L44</f>
        <v>48905.3375</v>
      </c>
    </row>
    <row r="69" customFormat="false" ht="15" hidden="false" customHeight="false" outlineLevel="0" collapsed="false">
      <c r="B69" s="389" t="s">
        <v>304</v>
      </c>
      <c r="C69" s="390"/>
      <c r="D69" s="390"/>
      <c r="E69" s="391" t="n">
        <f aca="false">E67*$L$13</f>
        <v>861.55</v>
      </c>
      <c r="F69" s="392" t="n">
        <f aca="false">F67*$L$13</f>
        <v>1043.4</v>
      </c>
    </row>
    <row r="70" customFormat="false" ht="15" hidden="false" customHeight="false" outlineLevel="0" collapsed="false">
      <c r="B70" s="74" t="s">
        <v>65</v>
      </c>
      <c r="C70" s="8"/>
      <c r="D70" s="8"/>
      <c r="E70" s="70" t="n">
        <f aca="false">E66+E67-E68-E69</f>
        <v>30313.3833333333</v>
      </c>
      <c r="F70" s="71" t="n">
        <f aca="false">F66+F67-F68-F69</f>
        <v>35754.625</v>
      </c>
    </row>
    <row r="71" customFormat="false" ht="15" hidden="false" customHeight="false" outlineLevel="0" collapsed="false">
      <c r="B71" s="7"/>
      <c r="C71" s="8"/>
      <c r="D71" s="8"/>
      <c r="E71" s="8"/>
      <c r="F71" s="9"/>
    </row>
    <row r="72" customFormat="false" ht="15" hidden="false" customHeight="false" outlineLevel="0" collapsed="false">
      <c r="B72" s="80" t="s">
        <v>66</v>
      </c>
      <c r="C72" s="8"/>
      <c r="D72" s="8"/>
      <c r="E72" s="70" t="n">
        <f aca="false">E47+K47</f>
        <v>8193.36533333333</v>
      </c>
      <c r="F72" s="71" t="n">
        <f aca="false">F47+L47</f>
        <v>9689.085</v>
      </c>
    </row>
    <row r="73" customFormat="false" ht="15" hidden="false" customHeight="false" outlineLevel="0" collapsed="false">
      <c r="B73" s="389" t="s">
        <v>305</v>
      </c>
      <c r="C73" s="390"/>
      <c r="D73" s="390"/>
      <c r="E73" s="391" t="n">
        <f aca="false">K47*$F$14</f>
        <v>269.7532</v>
      </c>
      <c r="F73" s="392" t="n">
        <f aca="false">L47*$F$14</f>
        <v>325.896</v>
      </c>
    </row>
    <row r="74" customFormat="false" ht="15" hidden="false" customHeight="false" outlineLevel="0" collapsed="false">
      <c r="B74" s="80"/>
      <c r="C74" s="8"/>
      <c r="D74" s="8"/>
      <c r="E74" s="393"/>
      <c r="F74" s="394"/>
    </row>
    <row r="75" customFormat="false" ht="15" hidden="false" customHeight="false" outlineLevel="0" collapsed="false">
      <c r="B75" s="26" t="s">
        <v>299</v>
      </c>
      <c r="C75" s="8"/>
      <c r="D75" s="8"/>
      <c r="E75" s="20" t="n">
        <f aca="false">E49+K49</f>
        <v>1348.275</v>
      </c>
      <c r="F75" s="73" t="n">
        <f aca="false">F49+L49</f>
        <v>1636.911</v>
      </c>
    </row>
    <row r="76" customFormat="false" ht="15" hidden="false" customHeight="false" outlineLevel="0" collapsed="false">
      <c r="B76" s="395" t="s">
        <v>306</v>
      </c>
      <c r="C76" s="390"/>
      <c r="D76" s="390"/>
      <c r="E76" s="391" t="n">
        <f aca="false">$L$20/$L$21</f>
        <v>21.7175375</v>
      </c>
      <c r="F76" s="392" t="n">
        <f aca="false">$L$20/$L$21</f>
        <v>21.7175375</v>
      </c>
    </row>
    <row r="77" customFormat="false" ht="15" hidden="false" customHeight="false" outlineLevel="0" collapsed="false">
      <c r="B77" s="26" t="s">
        <v>55</v>
      </c>
      <c r="C77" s="8"/>
      <c r="D77" s="8"/>
      <c r="E77" s="20" t="n">
        <f aca="false">E50+K50</f>
        <v>399</v>
      </c>
      <c r="F77" s="73" t="n">
        <f aca="false">F50+L50</f>
        <v>470</v>
      </c>
    </row>
    <row r="78" customFormat="false" ht="15" hidden="false" customHeight="false" outlineLevel="0" collapsed="false">
      <c r="B78" s="395" t="s">
        <v>307</v>
      </c>
      <c r="C78" s="390"/>
      <c r="D78" s="390"/>
      <c r="E78" s="391" t="n">
        <f aca="false">$L$26/$L$27</f>
        <v>1448.354364</v>
      </c>
      <c r="F78" s="392" t="n">
        <f aca="false">$L$26/$L$27</f>
        <v>1448.354364</v>
      </c>
    </row>
    <row r="79" customFormat="false" ht="15" hidden="false" customHeight="false" outlineLevel="0" collapsed="false">
      <c r="B79" s="26" t="s">
        <v>71</v>
      </c>
      <c r="C79" s="8"/>
      <c r="D79" s="8"/>
      <c r="E79" s="20" t="n">
        <f aca="false">E51+K51</f>
        <v>939.193</v>
      </c>
      <c r="F79" s="73" t="n">
        <f aca="false">F51+L51</f>
        <v>1100.979</v>
      </c>
    </row>
    <row r="80" customFormat="false" ht="15" hidden="false" customHeight="false" outlineLevel="0" collapsed="false">
      <c r="B80" s="7"/>
      <c r="C80" s="8"/>
      <c r="D80" s="8"/>
      <c r="E80" s="8"/>
      <c r="F80" s="9"/>
    </row>
    <row r="81" customFormat="false" ht="15" hidden="false" customHeight="false" outlineLevel="0" collapsed="false">
      <c r="B81" s="80" t="s">
        <v>72</v>
      </c>
      <c r="C81" s="8"/>
      <c r="D81" s="8"/>
      <c r="E81" s="75" t="n">
        <f aca="false">E70-E72+E73-E75-E76-E77-E78-E79</f>
        <v>18233.2312985</v>
      </c>
      <c r="F81" s="76" t="n">
        <f aca="false">F70-F72+F73-F75-F76-F77-F78-F79</f>
        <v>21713.4740985</v>
      </c>
    </row>
    <row r="82" customFormat="false" ht="15" hidden="false" customHeight="false" outlineLevel="0" collapsed="false">
      <c r="B82" s="26" t="s">
        <v>308</v>
      </c>
      <c r="C82" s="8"/>
      <c r="D82" s="8"/>
      <c r="E82" s="83" t="n">
        <f aca="false">E54+K54</f>
        <v>404.253637732062</v>
      </c>
      <c r="F82" s="84" t="n">
        <f aca="false">F54+L54</f>
        <v>510.149360726668</v>
      </c>
    </row>
    <row r="83" customFormat="false" ht="15" hidden="false" customHeight="false" outlineLevel="0" collapsed="false">
      <c r="B83" s="396" t="s">
        <v>309</v>
      </c>
      <c r="C83" s="34"/>
      <c r="D83" s="34"/>
      <c r="E83" s="397" t="n">
        <f aca="false">-$L$8*$F$11</f>
        <v>-143.496407</v>
      </c>
      <c r="F83" s="398" t="n">
        <f aca="false">-$L$8*$F$11</f>
        <v>-143.496407</v>
      </c>
    </row>
    <row r="84" customFormat="false" ht="15" hidden="false" customHeight="false" outlineLevel="0" collapsed="false">
      <c r="B84" s="399" t="s">
        <v>310</v>
      </c>
      <c r="C84" s="45"/>
      <c r="D84" s="45"/>
      <c r="E84" s="400" t="n">
        <f aca="false">-$L$9*$L$11</f>
        <v>-1291.467663</v>
      </c>
      <c r="F84" s="401" t="n">
        <f aca="false">-$L$9*$L$11</f>
        <v>-1291.467663</v>
      </c>
    </row>
    <row r="85" customFormat="false" ht="15" hidden="false" customHeight="false" outlineLevel="0" collapsed="false">
      <c r="B85" s="80" t="s">
        <v>76</v>
      </c>
      <c r="C85" s="8"/>
      <c r="D85" s="8"/>
      <c r="E85" s="75" t="n">
        <f aca="false">E81+E82+E83+E84</f>
        <v>17202.5208662321</v>
      </c>
      <c r="F85" s="76" t="n">
        <f aca="false">F81+F82+F83+F84</f>
        <v>20788.6593892267</v>
      </c>
    </row>
    <row r="86" customFormat="false" ht="15" hidden="false" customHeight="false" outlineLevel="0" collapsed="false">
      <c r="B86" s="85" t="s">
        <v>77</v>
      </c>
      <c r="C86" s="8"/>
      <c r="D86" s="8"/>
      <c r="E86" s="83" t="n">
        <f aca="false">E85*$F$38</f>
        <v>5160.75625986962</v>
      </c>
      <c r="F86" s="84" t="n">
        <f aca="false">F85*$F$38</f>
        <v>6236.597816768</v>
      </c>
    </row>
    <row r="87" customFormat="false" ht="15" hidden="false" customHeight="false" outlineLevel="0" collapsed="false">
      <c r="B87" s="7"/>
      <c r="C87" s="8"/>
      <c r="D87" s="8"/>
      <c r="E87" s="8"/>
      <c r="F87" s="9"/>
    </row>
    <row r="88" customFormat="false" ht="15" hidden="false" customHeight="false" outlineLevel="0" collapsed="false">
      <c r="B88" s="80" t="s">
        <v>78</v>
      </c>
      <c r="C88" s="8"/>
      <c r="D88" s="8"/>
      <c r="E88" s="75" t="n">
        <f aca="false">E85-E86</f>
        <v>12041.7646063625</v>
      </c>
      <c r="F88" s="76" t="n">
        <f aca="false">F85-F86</f>
        <v>14552.0615724587</v>
      </c>
    </row>
    <row r="89" customFormat="false" ht="15" hidden="false" customHeight="false" outlineLevel="0" collapsed="false">
      <c r="B89" s="26"/>
      <c r="C89" s="8"/>
      <c r="D89" s="8"/>
      <c r="E89" s="8"/>
      <c r="F89" s="9"/>
    </row>
    <row r="90" customFormat="false" ht="15" hidden="false" customHeight="false" outlineLevel="0" collapsed="false">
      <c r="B90" s="80" t="s">
        <v>79</v>
      </c>
      <c r="C90" s="8"/>
      <c r="D90" s="8"/>
      <c r="E90" s="86" t="n">
        <f aca="false">E88*Units/E91</f>
        <v>12.2659947955814</v>
      </c>
      <c r="F90" s="87" t="n">
        <f aca="false">F88*Units/F91</f>
        <v>14.8230361037325</v>
      </c>
    </row>
    <row r="91" customFormat="false" ht="15" hidden="false" customHeight="false" outlineLevel="0" collapsed="false">
      <c r="B91" s="402" t="s">
        <v>15</v>
      </c>
      <c r="C91" s="390"/>
      <c r="D91" s="390"/>
      <c r="E91" s="403" t="n">
        <f aca="false">E61+$L$10</f>
        <v>981719.363740498</v>
      </c>
      <c r="F91" s="404" t="n">
        <f aca="false">F61+$L$10</f>
        <v>981719.363740498</v>
      </c>
    </row>
    <row r="92" customFormat="false" ht="15" hidden="false" customHeight="false" outlineLevel="0" collapsed="false">
      <c r="B92" s="85"/>
      <c r="C92" s="8"/>
      <c r="D92" s="8"/>
      <c r="E92" s="21"/>
      <c r="F92" s="90"/>
    </row>
    <row r="93" customFormat="false" ht="15" hidden="false" customHeight="false" outlineLevel="0" collapsed="false">
      <c r="B93" s="80" t="s">
        <v>311</v>
      </c>
      <c r="C93" s="8"/>
      <c r="D93" s="8"/>
      <c r="E93" s="86" t="n">
        <f aca="false">E90-E60</f>
        <v>0.678431831306206</v>
      </c>
      <c r="F93" s="87" t="n">
        <f aca="false">F90-F60</f>
        <v>1.23184360478411</v>
      </c>
    </row>
    <row r="94" customFormat="false" ht="15" hidden="false" customHeight="false" outlineLevel="0" collapsed="false">
      <c r="B94" s="405" t="s">
        <v>312</v>
      </c>
      <c r="C94" s="45"/>
      <c r="D94" s="45"/>
      <c r="E94" s="406" t="n">
        <f aca="false">E93/E60</f>
        <v>0.0585482757157679</v>
      </c>
      <c r="F94" s="407" t="n">
        <f aca="false">F93/F60</f>
        <v>0.0906354320917332</v>
      </c>
    </row>
    <row r="96" customFormat="false" ht="15" hidden="false" customHeight="false" outlineLevel="0" collapsed="false">
      <c r="B96" s="1" t="s">
        <v>313</v>
      </c>
      <c r="C96" s="2"/>
      <c r="D96" s="2"/>
      <c r="E96" s="2"/>
      <c r="F96" s="2"/>
      <c r="G96" s="2"/>
      <c r="H96" s="2"/>
      <c r="I96" s="2"/>
      <c r="J96" s="2"/>
      <c r="K96" s="2"/>
      <c r="L96" s="2"/>
    </row>
    <row r="97" customFormat="false" ht="15" hidden="false" customHeight="false" outlineLevel="0" collapsed="false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customFormat="false" ht="15" hidden="false" customHeight="false" outlineLevel="0" collapsed="false">
      <c r="B98" s="408"/>
      <c r="C98" s="409"/>
      <c r="D98" s="410" t="s">
        <v>314</v>
      </c>
      <c r="E98" s="410"/>
      <c r="F98" s="410"/>
      <c r="G98" s="410"/>
      <c r="H98" s="410"/>
      <c r="I98" s="410"/>
      <c r="J98" s="410"/>
      <c r="K98" s="410"/>
      <c r="L98" s="410"/>
    </row>
    <row r="99" customFormat="false" ht="15" hidden="false" customHeight="false" outlineLevel="0" collapsed="false">
      <c r="B99" s="411"/>
      <c r="C99" s="412" t="n">
        <f aca="false">E94</f>
        <v>0.0585482757157679</v>
      </c>
      <c r="D99" s="413" t="n">
        <v>0</v>
      </c>
      <c r="E99" s="413" t="n">
        <f aca="false">D99+2%</f>
        <v>0.02</v>
      </c>
      <c r="F99" s="413" t="n">
        <f aca="false">E99+2%</f>
        <v>0.04</v>
      </c>
      <c r="G99" s="413" t="n">
        <f aca="false">F99+2%</f>
        <v>0.06</v>
      </c>
      <c r="H99" s="413" t="n">
        <f aca="false">G99+2%</f>
        <v>0.08</v>
      </c>
      <c r="I99" s="413" t="n">
        <f aca="false">H99+2%</f>
        <v>0.1</v>
      </c>
      <c r="J99" s="413" t="n">
        <f aca="false">I99+2%</f>
        <v>0.12</v>
      </c>
      <c r="K99" s="413" t="n">
        <f aca="false">J99+2%</f>
        <v>0.14</v>
      </c>
      <c r="L99" s="414" t="n">
        <f aca="false">K99+2%</f>
        <v>0.16</v>
      </c>
    </row>
    <row r="100" customFormat="false" ht="15" hidden="false" customHeight="true" outlineLevel="0" collapsed="false">
      <c r="B100" s="415" t="s">
        <v>315</v>
      </c>
      <c r="C100" s="416" t="n">
        <f aca="false">C101+5</f>
        <v>110</v>
      </c>
      <c r="D100" s="417" t="n">
        <f aca="true">TABLE($C$99,$F$7,$C100,$F$14,D$99)</f>
        <v>-0.0824490792835084</v>
      </c>
      <c r="E100" s="418" t="n">
        <f aca="true">TABLE($C$99,$F$7,$C100,$F$14,E$99)</f>
        <v>-0.0792441483501172</v>
      </c>
      <c r="F100" s="418" t="n">
        <f aca="true">TABLE($C$99,$F$7,$C100,$F$14,F$99)</f>
        <v>-0.076039217416726</v>
      </c>
      <c r="G100" s="418" t="n">
        <f aca="true">TABLE($C$99,$F$7,$C100,$F$14,G$99)</f>
        <v>-0.0728342864833347</v>
      </c>
      <c r="H100" s="418" t="n">
        <f aca="true">TABLE($C$99,$F$7,$C100,$F$14,H$99)</f>
        <v>-0.0696293555499438</v>
      </c>
      <c r="I100" s="418" t="n">
        <f aca="true">TABLE($C$99,$F$7,$C100,$F$14,I$99)</f>
        <v>-0.0664244246165526</v>
      </c>
      <c r="J100" s="418" t="n">
        <f aca="true">TABLE($C$99,$F$7,$C100,$F$14,J$99)</f>
        <v>-0.0632194936831612</v>
      </c>
      <c r="K100" s="418" t="n">
        <f aca="true">TABLE($C$99,$F$7,$C100,$F$14,K$99)</f>
        <v>-0.06001456274977</v>
      </c>
      <c r="L100" s="419" t="n">
        <f aca="true">TABLE($C$99,$F$7,$C100,$F$14,L$99)</f>
        <v>-0.056809631816379</v>
      </c>
    </row>
    <row r="101" customFormat="false" ht="15" hidden="false" customHeight="false" outlineLevel="0" collapsed="false">
      <c r="B101" s="415"/>
      <c r="C101" s="416" t="n">
        <f aca="false">C102+5</f>
        <v>105</v>
      </c>
      <c r="D101" s="420" t="n">
        <f aca="true">TABLE($C$99,$F$7,$C101,$F$14,D$99)</f>
        <v>-0.0652076936505636</v>
      </c>
      <c r="E101" s="421" t="n">
        <f aca="true">TABLE($C$99,$F$7,$C101,$F$14,E$99)</f>
        <v>-0.0619868386079039</v>
      </c>
      <c r="F101" s="421" t="n">
        <f aca="true">TABLE($C$99,$F$7,$C101,$F$14,F$99)</f>
        <v>-0.058765983565244</v>
      </c>
      <c r="G101" s="421" t="n">
        <f aca="true">TABLE($C$99,$F$7,$C101,$F$14,G$99)</f>
        <v>-0.0555451285225838</v>
      </c>
      <c r="H101" s="421" t="n">
        <f aca="true">TABLE($C$99,$F$7,$C101,$F$14,H$99)</f>
        <v>-0.0523242734799238</v>
      </c>
      <c r="I101" s="421" t="n">
        <f aca="true">TABLE($C$99,$F$7,$C101,$F$14,I$99)</f>
        <v>-0.0491034184372639</v>
      </c>
      <c r="J101" s="421" t="n">
        <f aca="true">TABLE($C$99,$F$7,$C101,$F$14,J$99)</f>
        <v>-0.0458825633946042</v>
      </c>
      <c r="K101" s="421" t="n">
        <f aca="true">TABLE($C$99,$F$7,$C101,$F$14,K$99)</f>
        <v>-0.0426617083519441</v>
      </c>
      <c r="L101" s="422" t="n">
        <f aca="true">TABLE($C$99,$F$7,$C101,$F$14,L$99)</f>
        <v>-0.0394408533092839</v>
      </c>
    </row>
    <row r="102" customFormat="false" ht="15" hidden="false" customHeight="false" outlineLevel="0" collapsed="false">
      <c r="B102" s="415"/>
      <c r="C102" s="416" t="n">
        <f aca="false">C103+5</f>
        <v>100</v>
      </c>
      <c r="D102" s="420" t="n">
        <f aca="true">TABLE($C$99,$F$7,$C102,$F$14,D$99)</f>
        <v>-0.0477941204219778</v>
      </c>
      <c r="E102" s="421" t="n">
        <f aca="true">TABLE($C$99,$F$7,$C102,$F$14,E$99)</f>
        <v>-0.0445571822379303</v>
      </c>
      <c r="F102" s="421" t="n">
        <f aca="true">TABLE($C$99,$F$7,$C102,$F$14,F$99)</f>
        <v>-0.041320244053883</v>
      </c>
      <c r="G102" s="421" t="n">
        <f aca="true">TABLE($C$99,$F$7,$C102,$F$14,G$99)</f>
        <v>-0.0380833058698353</v>
      </c>
      <c r="H102" s="421" t="n">
        <f aca="true">TABLE($C$99,$F$7,$C102,$F$14,H$99)</f>
        <v>-0.0348463676857878</v>
      </c>
      <c r="I102" s="421" t="n">
        <f aca="true">TABLE($C$99,$F$7,$C102,$F$14,I$99)</f>
        <v>-0.0316094295017403</v>
      </c>
      <c r="J102" s="421" t="n">
        <f aca="true">TABLE($C$99,$F$7,$C102,$F$14,J$99)</f>
        <v>-0.0283724913176928</v>
      </c>
      <c r="K102" s="421" t="n">
        <f aca="true">TABLE($C$99,$F$7,$C102,$F$14,K$99)</f>
        <v>-0.0251355531336452</v>
      </c>
      <c r="L102" s="422" t="n">
        <f aca="true">TABLE($C$99,$F$7,$C102,$F$14,L$99)</f>
        <v>-0.0218986149495977</v>
      </c>
    </row>
    <row r="103" customFormat="false" ht="15" hidden="false" customHeight="false" outlineLevel="0" collapsed="false">
      <c r="B103" s="415"/>
      <c r="C103" s="416" t="n">
        <f aca="false">C104+5</f>
        <v>95</v>
      </c>
      <c r="D103" s="420" t="n">
        <f aca="true">TABLE($C$99,$F$7,$C103,$F$14,D$99)</f>
        <v>-0.0302057672284364</v>
      </c>
      <c r="E103" s="421" t="n">
        <f aca="true">TABLE($C$99,$F$7,$C103,$F$14,E$99)</f>
        <v>-0.0269525844765754</v>
      </c>
      <c r="F103" s="421" t="n">
        <f aca="true">TABLE($C$99,$F$7,$C103,$F$14,F$99)</f>
        <v>-0.0236994017247146</v>
      </c>
      <c r="G103" s="421" t="n">
        <f aca="true">TABLE($C$99,$F$7,$C103,$F$14,G$99)</f>
        <v>-0.0204462189728534</v>
      </c>
      <c r="H103" s="421" t="n">
        <f aca="true">TABLE($C$99,$F$7,$C103,$F$14,H$99)</f>
        <v>-0.0171930362209924</v>
      </c>
      <c r="I103" s="421" t="n">
        <f aca="true">TABLE($C$99,$F$7,$C103,$F$14,I$99)</f>
        <v>-0.0139398534691315</v>
      </c>
      <c r="J103" s="421" t="n">
        <f aca="true">TABLE($C$99,$F$7,$C103,$F$14,J$99)</f>
        <v>-0.0106866707172705</v>
      </c>
      <c r="K103" s="421" t="n">
        <f aca="true">TABLE($C$99,$F$7,$C103,$F$14,K$99)</f>
        <v>-0.00743348796540953</v>
      </c>
      <c r="L103" s="422" t="n">
        <f aca="true">TABLE($C$99,$F$7,$C103,$F$14,L$99)</f>
        <v>-0.00418030521354868</v>
      </c>
    </row>
    <row r="104" customFormat="false" ht="15" hidden="false" customHeight="false" outlineLevel="0" collapsed="false">
      <c r="B104" s="415"/>
      <c r="C104" s="416" t="n">
        <f aca="false">C105+5</f>
        <v>90</v>
      </c>
      <c r="D104" s="420" t="n">
        <f aca="true">TABLE($C$99,$F$7,$C104,$F$14,D$99)</f>
        <v>-0.0124399893989474</v>
      </c>
      <c r="E104" s="421" t="n">
        <f aca="true">TABLE($C$99,$F$7,$C104,$F$14,E$99)</f>
        <v>-0.00917039821023419</v>
      </c>
      <c r="F104" s="421" t="n">
        <f aca="true">TABLE($C$99,$F$7,$C104,$F$14,F$99)</f>
        <v>-0.00590080702152128</v>
      </c>
      <c r="G104" s="421" t="n">
        <f aca="true">TABLE($C$99,$F$7,$C104,$F$14,G$99)</f>
        <v>-0.0026312158328079</v>
      </c>
      <c r="H104" s="421" t="n">
        <f aca="true">TABLE($C$99,$F$7,$C104,$F$14,H$99)</f>
        <v>0.00063837535590517</v>
      </c>
      <c r="I104" s="421" t="n">
        <f aca="true">TABLE($C$99,$F$7,$C104,$F$14,I$99)</f>
        <v>0.00390796654461793</v>
      </c>
      <c r="J104" s="421" t="n">
        <f aca="true">TABLE($C$99,$F$7,$C104,$F$14,J$99)</f>
        <v>0.00717755773333131</v>
      </c>
      <c r="K104" s="421" t="n">
        <f aca="true">TABLE($C$99,$F$7,$C104,$F$14,K$99)</f>
        <v>0.0104471489220444</v>
      </c>
      <c r="L104" s="422" t="n">
        <f aca="true">TABLE($C$99,$F$7,$C104,$F$14,L$99)</f>
        <v>0.0137167401107575</v>
      </c>
    </row>
    <row r="105" customFormat="false" ht="15" hidden="false" customHeight="false" outlineLevel="0" collapsed="false">
      <c r="B105" s="415"/>
      <c r="C105" s="416" t="n">
        <f aca="false">C106+5</f>
        <v>85</v>
      </c>
      <c r="D105" s="420" t="n">
        <f aca="true">TABLE($C$99,$F$7,$C105,$F$14,D$99)</f>
        <v>0.00550591136484275</v>
      </c>
      <c r="E105" s="421" t="n">
        <f aca="true">TABLE($C$99,$F$7,$C105,$F$14,E$99)</f>
        <v>0.00879207735158957</v>
      </c>
      <c r="F105" s="421" t="n">
        <f aca="true">TABLE($C$99,$F$7,$C105,$F$14,F$99)</f>
        <v>0.0120782433383364</v>
      </c>
      <c r="G105" s="421" t="n">
        <f aca="true">TABLE($C$99,$F$7,$C105,$F$14,G$99)</f>
        <v>0.0153644093250835</v>
      </c>
      <c r="H105" s="421" t="n">
        <f aca="true">TABLE($C$99,$F$7,$C105,$F$14,H$99)</f>
        <v>0.0186505753118305</v>
      </c>
      <c r="I105" s="421" t="n">
        <f aca="true">TABLE($C$99,$F$7,$C105,$F$14,I$99)</f>
        <v>0.0219367412985774</v>
      </c>
      <c r="J105" s="421" t="n">
        <f aca="true">TABLE($C$99,$F$7,$C105,$F$14,J$99)</f>
        <v>0.0252229072853243</v>
      </c>
      <c r="K105" s="421" t="n">
        <f aca="true">TABLE($C$99,$F$7,$C105,$F$14,K$99)</f>
        <v>0.0285090732720714</v>
      </c>
      <c r="L105" s="422" t="n">
        <f aca="true">TABLE($C$99,$F$7,$C105,$F$14,L$99)</f>
        <v>0.0317952392588182</v>
      </c>
    </row>
    <row r="106" customFormat="false" ht="15" hidden="false" customHeight="false" outlineLevel="0" collapsed="false">
      <c r="B106" s="415"/>
      <c r="C106" s="416" t="n">
        <f aca="false">C107+5</f>
        <v>80</v>
      </c>
      <c r="D106" s="420" t="n">
        <f aca="true">TABLE($C$99,$F$7,$C106,$F$14,D$99)</f>
        <v>0.0236346883548622</v>
      </c>
      <c r="E106" s="421" t="n">
        <f aca="true">TABLE($C$99,$F$7,$C106,$F$14,E$99)</f>
        <v>0.0269375980437595</v>
      </c>
      <c r="F106" s="421" t="n">
        <f aca="true">TABLE($C$99,$F$7,$C106,$F$14,F$99)</f>
        <v>0.0302405077326567</v>
      </c>
      <c r="G106" s="421" t="n">
        <f aca="true">TABLE($C$99,$F$7,$C106,$F$14,G$99)</f>
        <v>0.0335434174215543</v>
      </c>
      <c r="H106" s="421" t="n">
        <f aca="true">TABLE($C$99,$F$7,$C106,$F$14,H$99)</f>
        <v>0.0368463271104518</v>
      </c>
      <c r="I106" s="421" t="n">
        <f aca="true">TABLE($C$99,$F$7,$C106,$F$14,I$99)</f>
        <v>0.040149236799349</v>
      </c>
      <c r="J106" s="421" t="n">
        <f aca="true">TABLE($C$99,$F$7,$C106,$F$14,J$99)</f>
        <v>0.0434521464882463</v>
      </c>
      <c r="K106" s="421" t="n">
        <f aca="true">TABLE($C$99,$F$7,$C106,$F$14,K$99)</f>
        <v>0.0467550561771438</v>
      </c>
      <c r="L106" s="422" t="n">
        <f aca="true">TABLE($C$99,$F$7,$C106,$F$14,L$99)</f>
        <v>0.050057965866041</v>
      </c>
    </row>
    <row r="107" customFormat="false" ht="15" hidden="false" customHeight="false" outlineLevel="0" collapsed="false">
      <c r="B107" s="415"/>
      <c r="C107" s="416" t="n">
        <f aca="false">C108+5</f>
        <v>75</v>
      </c>
      <c r="D107" s="420" t="n">
        <f aca="true">TABLE($C$99,$F$7,$C107,$F$14,D$99)</f>
        <v>0.0419491512648086</v>
      </c>
      <c r="E107" s="421" t="n">
        <f aca="true">TABLE($C$99,$F$7,$C107,$F$14,E$99)</f>
        <v>0.0452689761550003</v>
      </c>
      <c r="F107" s="421" t="n">
        <f aca="true">TABLE($C$99,$F$7,$C107,$F$14,F$99)</f>
        <v>0.0485888010451921</v>
      </c>
      <c r="G107" s="421" t="n">
        <f aca="true">TABLE($C$99,$F$7,$C107,$F$14,G$99)</f>
        <v>0.0519086259353842</v>
      </c>
      <c r="H107" s="421" t="n">
        <f aca="true">TABLE($C$99,$F$7,$C107,$F$14,H$99)</f>
        <v>0.0552284508255758</v>
      </c>
      <c r="I107" s="421" t="n">
        <f aca="true">TABLE($C$99,$F$7,$C107,$F$14,I$99)</f>
        <v>0.0585482757157679</v>
      </c>
      <c r="J107" s="421" t="n">
        <f aca="true">TABLE($C$99,$F$7,$C107,$F$14,J$99)</f>
        <v>0.0618681006059596</v>
      </c>
      <c r="K107" s="421" t="n">
        <f aca="true">TABLE($C$99,$F$7,$C107,$F$14,K$99)</f>
        <v>0.0651879254961516</v>
      </c>
      <c r="L107" s="422" t="n">
        <f aca="true">TABLE($C$99,$F$7,$C107,$F$14,L$99)</f>
        <v>0.0685077503863433</v>
      </c>
    </row>
    <row r="108" customFormat="false" ht="15" hidden="false" customHeight="false" outlineLevel="0" collapsed="false">
      <c r="B108" s="415"/>
      <c r="C108" s="416" t="n">
        <f aca="false">C109+5</f>
        <v>70</v>
      </c>
      <c r="D108" s="420" t="n">
        <f aca="true">TABLE($C$99,$F$7,$C108,$F$14,D$99)</f>
        <v>0.0604521676418351</v>
      </c>
      <c r="E108" s="421" t="n">
        <f aca="true">TABLE($C$99,$F$7,$C108,$F$14,E$99)</f>
        <v>0.0637890818809262</v>
      </c>
      <c r="F108" s="421" t="n">
        <f aca="true">TABLE($C$99,$F$7,$C108,$F$14,F$99)</f>
        <v>0.0671259961200174</v>
      </c>
      <c r="G108" s="421" t="n">
        <f aca="true">TABLE($C$99,$F$7,$C108,$F$14,G$99)</f>
        <v>0.0704629103591086</v>
      </c>
      <c r="H108" s="421" t="n">
        <f aca="true">TABLE($C$99,$F$7,$C108,$F$14,H$99)</f>
        <v>0.0737998245982</v>
      </c>
      <c r="I108" s="421" t="n">
        <f aca="true">TABLE($C$99,$F$7,$C108,$F$14,I$99)</f>
        <v>0.0771367388372912</v>
      </c>
      <c r="J108" s="421" t="n">
        <f aca="true">TABLE($C$99,$F$7,$C108,$F$14,J$99)</f>
        <v>0.0804736530763822</v>
      </c>
      <c r="K108" s="421" t="n">
        <f aca="true">TABLE($C$99,$F$7,$C108,$F$14,K$99)</f>
        <v>0.0838105673154738</v>
      </c>
      <c r="L108" s="422" t="n">
        <f aca="true">TABLE($C$99,$F$7,$C108,$F$14,L$99)</f>
        <v>0.0871474815545648</v>
      </c>
    </row>
    <row r="109" customFormat="false" ht="15" hidden="false" customHeight="false" outlineLevel="0" collapsed="false">
      <c r="B109" s="415"/>
      <c r="C109" s="423" t="n">
        <v>65</v>
      </c>
      <c r="D109" s="424" t="n">
        <f aca="true">TABLE($C$99,$F$7,$C109,$F$14,D$99)</f>
        <v>0.0791466643833074</v>
      </c>
      <c r="E109" s="425" t="n">
        <f aca="true">TABLE($C$99,$F$7,$C109,$F$14,E$99)</f>
        <v>0.0825008448221794</v>
      </c>
      <c r="F109" s="425" t="n">
        <f aca="true">TABLE($C$99,$F$7,$C109,$F$14,F$99)</f>
        <v>0.0858550252610512</v>
      </c>
      <c r="G109" s="425" t="n">
        <f aca="true">TABLE($C$99,$F$7,$C109,$F$14,G$99)</f>
        <v>0.0892092056999236</v>
      </c>
      <c r="H109" s="425" t="n">
        <f aca="true">TABLE($C$99,$F$7,$C109,$F$14,H$99)</f>
        <v>0.0925633861387957</v>
      </c>
      <c r="I109" s="425" t="n">
        <f aca="true">TABLE($C$99,$F$7,$C109,$F$14,I$99)</f>
        <v>0.0959175665776674</v>
      </c>
      <c r="J109" s="425" t="n">
        <f aca="true">TABLE($C$99,$F$7,$C109,$F$14,J$99)</f>
        <v>0.0992717470165394</v>
      </c>
      <c r="K109" s="425" t="n">
        <f aca="true">TABLE($C$99,$F$7,$C109,$F$14,K$99)</f>
        <v>0.102625927455412</v>
      </c>
      <c r="L109" s="426" t="n">
        <f aca="true">TABLE($C$99,$F$7,$C109,$F$14,L$99)</f>
        <v>0.105980107894284</v>
      </c>
    </row>
    <row r="111" customFormat="false" ht="15" hidden="false" customHeight="false" outlineLevel="0" collapsed="false">
      <c r="B111" s="1" t="s">
        <v>316</v>
      </c>
    </row>
    <row r="113" customFormat="false" ht="15" hidden="false" customHeight="false" outlineLevel="0" collapsed="false">
      <c r="B113" s="408"/>
      <c r="C113" s="409"/>
      <c r="D113" s="410" t="s">
        <v>317</v>
      </c>
      <c r="E113" s="410"/>
      <c r="F113" s="410"/>
      <c r="G113" s="410"/>
      <c r="H113" s="410"/>
      <c r="I113" s="410"/>
      <c r="J113" s="410"/>
      <c r="K113" s="410"/>
      <c r="L113" s="410"/>
    </row>
    <row r="114" customFormat="false" ht="15" hidden="false" customHeight="false" outlineLevel="0" collapsed="false">
      <c r="B114" s="411"/>
      <c r="C114" s="412" t="n">
        <f aca="false">E94</f>
        <v>0.0585482757157679</v>
      </c>
      <c r="D114" s="413" t="n">
        <f aca="false">D99</f>
        <v>0</v>
      </c>
      <c r="E114" s="413" t="n">
        <f aca="false">E99</f>
        <v>0.02</v>
      </c>
      <c r="F114" s="413" t="n">
        <f aca="false">F99</f>
        <v>0.04</v>
      </c>
      <c r="G114" s="413" t="n">
        <f aca="false">G99</f>
        <v>0.06</v>
      </c>
      <c r="H114" s="413" t="n">
        <f aca="false">H99</f>
        <v>0.08</v>
      </c>
      <c r="I114" s="413" t="n">
        <f aca="false">I99</f>
        <v>0.1</v>
      </c>
      <c r="J114" s="413" t="n">
        <f aca="false">J99</f>
        <v>0.12</v>
      </c>
      <c r="K114" s="413" t="n">
        <f aca="false">K99</f>
        <v>0.14</v>
      </c>
      <c r="L114" s="414" t="n">
        <f aca="false">L99</f>
        <v>0.16</v>
      </c>
    </row>
    <row r="115" customFormat="false" ht="15" hidden="false" customHeight="true" outlineLevel="0" collapsed="false">
      <c r="B115" s="415" t="s">
        <v>315</v>
      </c>
      <c r="C115" s="416" t="n">
        <f aca="false">C100</f>
        <v>110</v>
      </c>
      <c r="D115" s="417" t="n">
        <f aca="true">TABLE($C$114,$F$7,$C115,$F$13,D$114)</f>
        <v>-0.117604693203972</v>
      </c>
      <c r="E115" s="418" t="n">
        <f aca="true">TABLE($C$114,$F$7,$C115,$F$13,E$114)</f>
        <v>-0.107368639486489</v>
      </c>
      <c r="F115" s="418" t="n">
        <f aca="true">TABLE($C$114,$F$7,$C115,$F$13,F$114)</f>
        <v>-0.0971325857690041</v>
      </c>
      <c r="G115" s="418" t="n">
        <f aca="true">TABLE($C$114,$F$7,$C115,$F$13,G$114)</f>
        <v>-0.0868965320515209</v>
      </c>
      <c r="H115" s="418" t="n">
        <f aca="true">TABLE($C$114,$F$7,$C115,$F$13,H$114)</f>
        <v>-0.0766604783340372</v>
      </c>
      <c r="I115" s="418" t="n">
        <f aca="true">TABLE($C$114,$F$7,$C115,$F$13,I$114)</f>
        <v>-0.0664244246165526</v>
      </c>
      <c r="J115" s="418" t="n">
        <f aca="true">TABLE($C$114,$F$7,$C115,$F$13,J$114)</f>
        <v>-0.0561883708990693</v>
      </c>
      <c r="K115" s="418" t="n">
        <f aca="true">TABLE($C$114,$F$7,$C115,$F$13,K$114)</f>
        <v>-0.0459523171815856</v>
      </c>
      <c r="L115" s="419" t="n">
        <f aca="true">TABLE($C$114,$F$7,$C115,$F$13,L$114)</f>
        <v>-0.035716263464101</v>
      </c>
    </row>
    <row r="116" customFormat="false" ht="15" hidden="false" customHeight="false" outlineLevel="0" collapsed="false">
      <c r="B116" s="415"/>
      <c r="C116" s="416" t="n">
        <f aca="false">C101</f>
        <v>105</v>
      </c>
      <c r="D116" s="420" t="n">
        <f aca="true">TABLE($C$114,$F$7,$C116,$F$13,D$114)</f>
        <v>-0.100537982735365</v>
      </c>
      <c r="E116" s="421" t="n">
        <f aca="true">TABLE($C$114,$F$7,$C116,$F$13,E$114)</f>
        <v>-0.0902510698757453</v>
      </c>
      <c r="F116" s="421" t="n">
        <f aca="true">TABLE($C$114,$F$7,$C116,$F$13,F$114)</f>
        <v>-0.0799641570161246</v>
      </c>
      <c r="G116" s="421" t="n">
        <f aca="true">TABLE($C$114,$F$7,$C116,$F$13,G$114)</f>
        <v>-0.0696772441565049</v>
      </c>
      <c r="H116" s="421" t="n">
        <f aca="true">TABLE($C$114,$F$7,$C116,$F$13,H$114)</f>
        <v>-0.0593903312968849</v>
      </c>
      <c r="I116" s="421" t="n">
        <f aca="true">TABLE($C$114,$F$7,$C116,$F$13,I$114)</f>
        <v>-0.0491034184372639</v>
      </c>
      <c r="J116" s="421" t="n">
        <f aca="true">TABLE($C$114,$F$7,$C116,$F$13,J$114)</f>
        <v>-0.0388165055776444</v>
      </c>
      <c r="K116" s="421" t="n">
        <f aca="true">TABLE($C$114,$F$7,$C116,$F$13,K$114)</f>
        <v>-0.0285295927180244</v>
      </c>
      <c r="L116" s="422" t="n">
        <f aca="true">TABLE($C$114,$F$7,$C116,$F$13,L$114)</f>
        <v>-0.0182426798584035</v>
      </c>
    </row>
    <row r="117" customFormat="false" ht="15" hidden="false" customHeight="false" outlineLevel="0" collapsed="false">
      <c r="B117" s="415"/>
      <c r="C117" s="416" t="n">
        <f aca="false">C102</f>
        <v>100</v>
      </c>
      <c r="D117" s="420" t="n">
        <f aca="true">TABLE($C$114,$F$7,$C117,$F$13,D$114)</f>
        <v>-0.0833008291304782</v>
      </c>
      <c r="E117" s="421" t="n">
        <f aca="true">TABLE($C$114,$F$7,$C117,$F$13,E$114)</f>
        <v>-0.0729625492047308</v>
      </c>
      <c r="F117" s="421" t="n">
        <f aca="true">TABLE($C$114,$F$7,$C117,$F$13,F$114)</f>
        <v>-0.0626242692789828</v>
      </c>
      <c r="G117" s="421" t="n">
        <f aca="true">TABLE($C$114,$F$7,$C117,$F$13,G$114)</f>
        <v>-0.0522859893532359</v>
      </c>
      <c r="H117" s="421" t="n">
        <f aca="true">TABLE($C$114,$F$7,$C117,$F$13,H$114)</f>
        <v>-0.0419477094274886</v>
      </c>
      <c r="I117" s="421" t="n">
        <f aca="true">TABLE($C$114,$F$7,$C117,$F$13,I$114)</f>
        <v>-0.0316094295017403</v>
      </c>
      <c r="J117" s="421" t="n">
        <f aca="true">TABLE($C$114,$F$7,$C117,$F$13,J$114)</f>
        <v>-0.0212711495759933</v>
      </c>
      <c r="K117" s="421" t="n">
        <f aca="true">TABLE($C$114,$F$7,$C117,$F$13,K$114)</f>
        <v>-0.010932869650246</v>
      </c>
      <c r="L117" s="422" t="n">
        <f aca="true">TABLE($C$114,$F$7,$C117,$F$13,L$114)</f>
        <v>-0.000594589724497877</v>
      </c>
    </row>
    <row r="118" customFormat="false" ht="15" hidden="false" customHeight="false" outlineLevel="0" collapsed="false">
      <c r="B118" s="415"/>
      <c r="C118" s="416" t="n">
        <f aca="false">C103</f>
        <v>95</v>
      </c>
      <c r="D118" s="420" t="n">
        <f aca="true">TABLE($C$114,$F$7,$C118,$F$13,D$114)</f>
        <v>-0.0658906662836941</v>
      </c>
      <c r="E118" s="421" t="n">
        <f aca="true">TABLE($C$114,$F$7,$C118,$F$13,E$114)</f>
        <v>-0.0555005037207818</v>
      </c>
      <c r="F118" s="421" t="n">
        <f aca="true">TABLE($C$114,$F$7,$C118,$F$13,F$114)</f>
        <v>-0.0451103411578686</v>
      </c>
      <c r="G118" s="421" t="n">
        <f aca="true">TABLE($C$114,$F$7,$C118,$F$13,G$114)</f>
        <v>-0.034720178594957</v>
      </c>
      <c r="H118" s="421" t="n">
        <f aca="true">TABLE($C$114,$F$7,$C118,$F$13,H$114)</f>
        <v>-0.0243300160320447</v>
      </c>
      <c r="I118" s="421" t="n">
        <f aca="true">TABLE($C$114,$F$7,$C118,$F$13,I$114)</f>
        <v>-0.0139398534691315</v>
      </c>
      <c r="J118" s="421" t="n">
        <f aca="true">TABLE($C$114,$F$7,$C118,$F$13,J$114)</f>
        <v>-0.0035496909062199</v>
      </c>
      <c r="K118" s="421" t="n">
        <f aca="true">TABLE($C$114,$F$7,$C118,$F$13,K$114)</f>
        <v>0.00684047165669236</v>
      </c>
      <c r="L118" s="422" t="n">
        <f aca="true">TABLE($C$114,$F$7,$C118,$F$13,L$114)</f>
        <v>0.0172306342196055</v>
      </c>
    </row>
    <row r="119" customFormat="false" ht="15" hidden="false" customHeight="false" outlineLevel="0" collapsed="false">
      <c r="B119" s="415"/>
      <c r="C119" s="416" t="n">
        <f aca="false">C104</f>
        <v>90</v>
      </c>
      <c r="D119" s="420" t="n">
        <f aca="true">TABLE($C$114,$F$7,$C119,$F$13,D$114)</f>
        <v>-0.0483048763175949</v>
      </c>
      <c r="E119" s="421" t="n">
        <f aca="true">TABLE($C$114,$F$7,$C119,$F$13,E$114)</f>
        <v>-0.0378623077451524</v>
      </c>
      <c r="F119" s="421" t="n">
        <f aca="true">TABLE($C$114,$F$7,$C119,$F$13,F$114)</f>
        <v>-0.0274197391727094</v>
      </c>
      <c r="G119" s="421" t="n">
        <f aca="true">TABLE($C$114,$F$7,$C119,$F$13,G$114)</f>
        <v>-0.0169771706002673</v>
      </c>
      <c r="H119" s="421" t="n">
        <f aca="true">TABLE($C$114,$F$7,$C119,$F$13,H$114)</f>
        <v>-0.00653460202782522</v>
      </c>
      <c r="I119" s="421" t="n">
        <f aca="true">TABLE($C$114,$F$7,$C119,$F$13,I$114)</f>
        <v>0.00390796654461793</v>
      </c>
      <c r="J119" s="421" t="n">
        <f aca="true">TABLE($C$114,$F$7,$C119,$F$13,J$114)</f>
        <v>0.0143505351170599</v>
      </c>
      <c r="K119" s="421" t="n">
        <f aca="true">TABLE($C$114,$F$7,$C119,$F$13,K$114)</f>
        <v>0.0247931036895023</v>
      </c>
      <c r="L119" s="422" t="n">
        <f aca="true">TABLE($C$114,$F$7,$C119,$F$13,L$114)</f>
        <v>0.0352356722619454</v>
      </c>
    </row>
    <row r="120" customFormat="false" ht="15" hidden="false" customHeight="false" outlineLevel="0" collapsed="false">
      <c r="B120" s="415"/>
      <c r="C120" s="416" t="n">
        <f aca="false">C105</f>
        <v>85</v>
      </c>
      <c r="D120" s="420" t="n">
        <f aca="true">TABLE($C$114,$F$7,$C120,$F$13,D$114)</f>
        <v>-0.0305407882707078</v>
      </c>
      <c r="E120" s="421" t="n">
        <f aca="true">TABLE($C$114,$F$7,$C120,$F$13,E$114)</f>
        <v>-0.020045282356851</v>
      </c>
      <c r="F120" s="421" t="n">
        <f aca="true">TABLE($C$114,$F$7,$C120,$F$13,F$114)</f>
        <v>-0.00954977644299344</v>
      </c>
      <c r="G120" s="421" t="n">
        <f aca="true">TABLE($C$114,$F$7,$C120,$F$13,G$114)</f>
        <v>0.000945729470862758</v>
      </c>
      <c r="H120" s="421" t="n">
        <f aca="true">TABLE($C$114,$F$7,$C120,$F$13,H$114)</f>
        <v>0.0114412353847197</v>
      </c>
      <c r="I120" s="421" t="n">
        <f aca="true">TABLE($C$114,$F$7,$C120,$F$13,I$114)</f>
        <v>0.0219367412985774</v>
      </c>
      <c r="J120" s="421" t="n">
        <f aca="true">TABLE($C$114,$F$7,$C120,$F$13,J$114)</f>
        <v>0.0324322472124338</v>
      </c>
      <c r="K120" s="421" t="n">
        <f aca="true">TABLE($C$114,$F$7,$C120,$F$13,K$114)</f>
        <v>0.0429277531262906</v>
      </c>
      <c r="L120" s="422" t="n">
        <f aca="true">TABLE($C$114,$F$7,$C120,$F$13,L$114)</f>
        <v>0.0534232590401482</v>
      </c>
    </row>
    <row r="121" customFormat="false" ht="15" hidden="false" customHeight="false" outlineLevel="0" collapsed="false">
      <c r="B121" s="415"/>
      <c r="C121" s="416" t="n">
        <f aca="false">C106</f>
        <v>80</v>
      </c>
      <c r="D121" s="420" t="n">
        <f aca="true">TABLE($C$114,$F$7,$C121,$F$13,D$114)</f>
        <v>-0.0125956767451347</v>
      </c>
      <c r="E121" s="421" t="n">
        <f aca="true">TABLE($C$114,$F$7,$C121,$F$13,E$114)</f>
        <v>-0.00204669403623821</v>
      </c>
      <c r="F121" s="421" t="n">
        <f aca="true">TABLE($C$114,$F$7,$C121,$F$13,F$114)</f>
        <v>0.00850228867265901</v>
      </c>
      <c r="G121" s="421" t="n">
        <f aca="true">TABLE($C$114,$F$7,$C121,$F$13,G$114)</f>
        <v>0.0190512713815552</v>
      </c>
      <c r="H121" s="421" t="n">
        <f aca="true">TABLE($C$114,$F$7,$C121,$F$13,H$114)</f>
        <v>0.0296002540904516</v>
      </c>
      <c r="I121" s="421" t="n">
        <f aca="true">TABLE($C$114,$F$7,$C121,$F$13,I$114)</f>
        <v>0.040149236799349</v>
      </c>
      <c r="J121" s="421" t="n">
        <f aca="true">TABLE($C$114,$F$7,$C121,$F$13,J$114)</f>
        <v>0.0506982195082448</v>
      </c>
      <c r="K121" s="421" t="n">
        <f aca="true">TABLE($C$114,$F$7,$C121,$F$13,K$114)</f>
        <v>0.0612472022171414</v>
      </c>
      <c r="L121" s="422" t="n">
        <f aca="true">TABLE($C$114,$F$7,$C121,$F$13,L$114)</f>
        <v>0.071796184926039</v>
      </c>
    </row>
    <row r="122" customFormat="false" ht="15" hidden="false" customHeight="false" outlineLevel="0" collapsed="false">
      <c r="B122" s="415"/>
      <c r="C122" s="416" t="n">
        <f aca="false">C107</f>
        <v>75</v>
      </c>
      <c r="D122" s="420" t="n">
        <f aca="true">TABLE($C$114,$F$7,$C122,$F$13,D$114)</f>
        <v>0.00553323948737763</v>
      </c>
      <c r="E122" s="421" t="n">
        <f aca="true">TABLE($C$114,$F$7,$C122,$F$13,E$114)</f>
        <v>0.0161362467330555</v>
      </c>
      <c r="F122" s="421" t="n">
        <f aca="true">TABLE($C$114,$F$7,$C122,$F$13,F$114)</f>
        <v>0.0267392539787341</v>
      </c>
      <c r="G122" s="421" t="n">
        <f aca="true">TABLE($C$114,$F$7,$C122,$F$13,G$114)</f>
        <v>0.0373422612244114</v>
      </c>
      <c r="H122" s="421" t="n">
        <f aca="true">TABLE($C$114,$F$7,$C122,$F$13,H$114)</f>
        <v>0.0479452684700893</v>
      </c>
      <c r="I122" s="421" t="n">
        <f aca="true">TABLE($C$114,$F$7,$C122,$F$13,I$114)</f>
        <v>0.0585482757157679</v>
      </c>
      <c r="J122" s="421" t="n">
        <f aca="true">TABLE($C$114,$F$7,$C122,$F$13,J$114)</f>
        <v>0.0691512829614449</v>
      </c>
      <c r="K122" s="421" t="n">
        <f aca="true">TABLE($C$114,$F$7,$C122,$F$13,K$114)</f>
        <v>0.0797542902071228</v>
      </c>
      <c r="L122" s="422" t="n">
        <f aca="true">TABLE($C$114,$F$7,$C122,$F$13,L$114)</f>
        <v>0.0903572974528015</v>
      </c>
    </row>
    <row r="123" customFormat="false" ht="15" hidden="false" customHeight="false" outlineLevel="0" collapsed="false">
      <c r="B123" s="415"/>
      <c r="C123" s="416" t="n">
        <f aca="false">C108</f>
        <v>70</v>
      </c>
      <c r="D123" s="420" t="n">
        <f aca="true">TABLE($C$114,$F$7,$C123,$F$13,D$114)</f>
        <v>0.0238487989224156</v>
      </c>
      <c r="E123" s="421" t="n">
        <f aca="true">TABLE($C$114,$F$7,$C123,$F$13,E$114)</f>
        <v>0.0345063869053904</v>
      </c>
      <c r="F123" s="421" t="n">
        <f aca="true">TABLE($C$114,$F$7,$C123,$F$13,F$114)</f>
        <v>0.0451639748883661</v>
      </c>
      <c r="G123" s="421" t="n">
        <f aca="true">TABLE($C$114,$F$7,$C123,$F$13,G$114)</f>
        <v>0.0558215628713404</v>
      </c>
      <c r="H123" s="421" t="n">
        <f aca="true">TABLE($C$114,$F$7,$C123,$F$13,H$114)</f>
        <v>0.0664791508543155</v>
      </c>
      <c r="I123" s="421" t="n">
        <f aca="true">TABLE($C$114,$F$7,$C123,$F$13,I$114)</f>
        <v>0.0771367388372912</v>
      </c>
      <c r="J123" s="421" t="n">
        <f aca="true">TABLE($C$114,$F$7,$C123,$F$13,J$114)</f>
        <v>0.0877943268202656</v>
      </c>
      <c r="K123" s="421" t="n">
        <f aca="true">TABLE($C$114,$F$7,$C123,$F$13,K$114)</f>
        <v>0.0984519148032404</v>
      </c>
      <c r="L123" s="422" t="n">
        <f aca="true">TABLE($C$114,$F$7,$C123,$F$13,L$114)</f>
        <v>0.109109502786216</v>
      </c>
    </row>
    <row r="124" customFormat="false" ht="15" hidden="false" customHeight="false" outlineLevel="0" collapsed="false">
      <c r="B124" s="415"/>
      <c r="C124" s="423" t="n">
        <f aca="false">C109</f>
        <v>65</v>
      </c>
      <c r="D124" s="424" t="n">
        <f aca="true">TABLE($C$114,$F$7,$C124,$F$13,D$114)</f>
        <v>0.0423538988044912</v>
      </c>
      <c r="E124" s="425" t="n">
        <f aca="true">TABLE($C$114,$F$7,$C124,$F$13,E$114)</f>
        <v>0.0530666323591262</v>
      </c>
      <c r="F124" s="425" t="n">
        <f aca="true">TABLE($C$114,$F$7,$C124,$F$13,F$114)</f>
        <v>0.0637793659137621</v>
      </c>
      <c r="G124" s="425" t="n">
        <f aca="true">TABLE($C$114,$F$7,$C124,$F$13,G$114)</f>
        <v>0.0744920994683965</v>
      </c>
      <c r="H124" s="425" t="n">
        <f aca="true">TABLE($C$114,$F$7,$C124,$F$13,H$114)</f>
        <v>0.0852048330230315</v>
      </c>
      <c r="I124" s="425" t="n">
        <f aca="true">TABLE($C$114,$F$7,$C124,$F$13,I$114)</f>
        <v>0.0959175665776674</v>
      </c>
      <c r="J124" s="425" t="n">
        <f aca="true">TABLE($C$114,$F$7,$C124,$F$13,J$114)</f>
        <v>0.106630300132302</v>
      </c>
      <c r="K124" s="425" t="n">
        <f aca="true">TABLE($C$114,$F$7,$C124,$F$13,K$114)</f>
        <v>0.117343033686937</v>
      </c>
      <c r="L124" s="426" t="n">
        <f aca="true">TABLE($C$114,$F$7,$C124,$F$13,L$114)</f>
        <v>0.128055767241573</v>
      </c>
    </row>
  </sheetData>
  <mergeCells count="4">
    <mergeCell ref="D98:L98"/>
    <mergeCell ref="B100:B109"/>
    <mergeCell ref="D113:L113"/>
    <mergeCell ref="B115:B1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6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B23" activeCellId="0" sqref="B23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12" min="12" style="0" width="9.14"/>
  </cols>
  <sheetData>
    <row r="2" customFormat="false" ht="15" hidden="false" customHeight="false" outlineLevel="0" collapsed="false">
      <c r="B2" s="1" t="str">
        <f aca="false">"Merger Model - Seller Diluted Share Count &amp; Combined Balance Sheets"</f>
        <v>Merger Model - Seller Diluted Share Count &amp; Combined Balance Sheets</v>
      </c>
    </row>
    <row r="3" customFormat="false" ht="15" hidden="false" customHeight="false" outlineLevel="0" collapsed="false">
      <c r="B3" s="0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318</v>
      </c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6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 customFormat="false" ht="15" hidden="false" customHeight="false" outlineLevel="0" collapsed="false">
      <c r="B7" s="10" t="s">
        <v>5</v>
      </c>
      <c r="C7" s="8"/>
      <c r="E7" s="13" t="s">
        <v>319</v>
      </c>
      <c r="F7" s="8"/>
      <c r="L7" s="12" t="s">
        <v>320</v>
      </c>
      <c r="M7" s="8"/>
      <c r="N7" s="8"/>
      <c r="O7" s="9"/>
    </row>
    <row r="8" customFormat="false" ht="15" hidden="false" customHeight="false" outlineLevel="0" collapsed="false">
      <c r="B8" s="10" t="s">
        <v>9</v>
      </c>
      <c r="C8" s="8"/>
      <c r="D8" s="16"/>
      <c r="E8" s="17" t="n">
        <v>62.91</v>
      </c>
      <c r="F8" s="8"/>
      <c r="G8" s="8"/>
      <c r="H8" s="8"/>
      <c r="I8" s="8"/>
      <c r="J8" s="8"/>
      <c r="K8" s="8"/>
      <c r="L8" s="8"/>
      <c r="M8" s="8"/>
      <c r="N8" s="8"/>
      <c r="O8" s="9"/>
    </row>
    <row r="9" customFormat="false" ht="15" hidden="false" customHeight="false" outlineLevel="0" collapsed="false">
      <c r="B9" s="10" t="s">
        <v>321</v>
      </c>
      <c r="C9" s="8"/>
      <c r="D9" s="16"/>
      <c r="E9" s="427" t="n">
        <f aca="false">Purchase_Price</f>
        <v>75</v>
      </c>
      <c r="F9" s="8"/>
      <c r="G9" s="12" t="s">
        <v>11</v>
      </c>
      <c r="H9" s="8"/>
      <c r="I9" s="8"/>
      <c r="J9" s="428" t="n">
        <v>0.28</v>
      </c>
      <c r="K9" s="8"/>
      <c r="L9" s="23"/>
      <c r="M9" s="23"/>
      <c r="N9" s="23" t="s">
        <v>16</v>
      </c>
      <c r="O9" s="429"/>
    </row>
    <row r="10" customFormat="false" ht="15" hidden="false" customHeight="false" outlineLevel="0" collapsed="false">
      <c r="B10" s="7"/>
      <c r="C10" s="8"/>
      <c r="D10" s="8"/>
      <c r="E10" s="8"/>
      <c r="F10" s="8"/>
      <c r="G10" s="8"/>
      <c r="H10" s="8"/>
      <c r="I10" s="8"/>
      <c r="J10" s="8"/>
      <c r="K10" s="8"/>
      <c r="L10" s="24" t="s">
        <v>18</v>
      </c>
      <c r="M10" s="25" t="s">
        <v>19</v>
      </c>
      <c r="N10" s="25" t="s">
        <v>20</v>
      </c>
      <c r="O10" s="430" t="s">
        <v>21</v>
      </c>
    </row>
    <row r="11" customFormat="false" ht="15" hidden="false" customHeight="false" outlineLevel="0" collapsed="false">
      <c r="B11" s="431" t="s">
        <v>322</v>
      </c>
      <c r="C11" s="431"/>
      <c r="D11" s="431"/>
      <c r="E11" s="431"/>
      <c r="F11" s="8"/>
      <c r="G11" s="432" t="s">
        <v>323</v>
      </c>
      <c r="H11" s="432"/>
      <c r="I11" s="432"/>
      <c r="J11" s="432"/>
      <c r="K11" s="8"/>
      <c r="L11" s="28" t="s">
        <v>23</v>
      </c>
      <c r="M11" s="19" t="n">
        <v>10470</v>
      </c>
      <c r="N11" s="17" t="n">
        <v>38.57</v>
      </c>
      <c r="O11" s="90" t="n">
        <f aca="false">IF(N11&gt;Seller_Share_Price,0,M11-M11*N11/Seller_Share_Price)</f>
        <v>4050.86313781593</v>
      </c>
    </row>
    <row r="12" customFormat="false" ht="15" hidden="false" customHeight="false" outlineLevel="0" collapsed="false">
      <c r="B12" s="10" t="s">
        <v>12</v>
      </c>
      <c r="C12" s="8"/>
      <c r="D12" s="8"/>
      <c r="E12" s="19" t="n">
        <v>568900</v>
      </c>
      <c r="F12" s="8"/>
      <c r="G12" s="12" t="s">
        <v>12</v>
      </c>
      <c r="J12" s="21" t="n">
        <f aca="false">E12</f>
        <v>568900</v>
      </c>
      <c r="K12" s="8"/>
      <c r="L12" s="28" t="s">
        <v>25</v>
      </c>
      <c r="M12" s="19"/>
      <c r="N12" s="17"/>
      <c r="O12" s="90"/>
    </row>
    <row r="13" customFormat="false" ht="15" hidden="false" customHeight="false" outlineLevel="0" collapsed="false">
      <c r="B13" s="10" t="s">
        <v>14</v>
      </c>
      <c r="C13" s="8"/>
      <c r="D13" s="8"/>
      <c r="E13" s="20" t="n">
        <f aca="false">E12/Units*Seller_Share_Price</f>
        <v>35789.499</v>
      </c>
      <c r="F13" s="8"/>
      <c r="G13" s="12" t="s">
        <v>14</v>
      </c>
      <c r="J13" s="20" t="n">
        <f aca="false">J12/Units*E9</f>
        <v>42667.5</v>
      </c>
      <c r="K13" s="8"/>
      <c r="L13" s="33" t="s">
        <v>33</v>
      </c>
      <c r="M13" s="34"/>
      <c r="N13" s="34"/>
      <c r="O13" s="433" t="n">
        <f aca="false">SUM(O11:O12)</f>
        <v>4050.86313781593</v>
      </c>
    </row>
    <row r="14" customFormat="false" ht="15" hidden="false" customHeight="false" outlineLevel="0" collapsed="false">
      <c r="B14" s="10" t="s">
        <v>15</v>
      </c>
      <c r="C14" s="8"/>
      <c r="D14" s="8"/>
      <c r="E14" s="21" t="n">
        <f aca="false">E12+O13</f>
        <v>572950.863137816</v>
      </c>
      <c r="F14" s="8"/>
      <c r="G14" s="12" t="s">
        <v>15</v>
      </c>
      <c r="J14" s="21" t="n">
        <f aca="false">J12+O21</f>
        <v>573985.628</v>
      </c>
      <c r="K14" s="8"/>
      <c r="O14" s="9"/>
    </row>
    <row r="15" customFormat="false" ht="15" hidden="false" customHeight="false" outlineLevel="0" collapsed="false">
      <c r="B15" s="10" t="s">
        <v>17</v>
      </c>
      <c r="C15" s="8"/>
      <c r="D15" s="8"/>
      <c r="E15" s="20" t="n">
        <f aca="false">E14/Units*Seller_Share_Price</f>
        <v>36044.3388</v>
      </c>
      <c r="F15" s="8"/>
      <c r="G15" s="12" t="s">
        <v>17</v>
      </c>
      <c r="J15" s="20" t="n">
        <f aca="false">J14/Units*E9</f>
        <v>43048.9221</v>
      </c>
      <c r="K15" s="8"/>
      <c r="L15" s="12" t="s">
        <v>324</v>
      </c>
      <c r="M15" s="8"/>
      <c r="N15" s="8"/>
      <c r="O15" s="9"/>
    </row>
    <row r="16" customFormat="false" ht="15" hidden="false" customHeight="false" outlineLevel="0" collapsed="false">
      <c r="B16" s="26" t="s">
        <v>22</v>
      </c>
      <c r="C16" s="8"/>
      <c r="D16" s="8"/>
      <c r="E16" s="27" t="n">
        <f aca="false">J27+J35</f>
        <v>2497.747</v>
      </c>
      <c r="F16" s="8"/>
      <c r="G16" s="434" t="s">
        <v>22</v>
      </c>
      <c r="J16" s="27" t="n">
        <f aca="false">E16</f>
        <v>2497.747</v>
      </c>
      <c r="K16" s="8"/>
      <c r="L16" s="8"/>
      <c r="M16" s="8"/>
      <c r="N16" s="8"/>
      <c r="O16" s="9"/>
    </row>
    <row r="17" customFormat="false" ht="15" hidden="false" customHeight="false" outlineLevel="0" collapsed="false">
      <c r="B17" s="26" t="s">
        <v>24</v>
      </c>
      <c r="C17" s="8"/>
      <c r="D17" s="8"/>
      <c r="E17" s="30" t="n">
        <v>0</v>
      </c>
      <c r="F17" s="8"/>
      <c r="G17" s="434" t="s">
        <v>24</v>
      </c>
      <c r="J17" s="27" t="n">
        <f aca="false">E17</f>
        <v>0</v>
      </c>
      <c r="K17" s="8"/>
      <c r="L17" s="23"/>
      <c r="M17" s="23"/>
      <c r="N17" s="23" t="s">
        <v>16</v>
      </c>
      <c r="O17" s="429"/>
    </row>
    <row r="18" customFormat="false" ht="15" hidden="false" customHeight="false" outlineLevel="0" collapsed="false">
      <c r="B18" s="26" t="s">
        <v>26</v>
      </c>
      <c r="C18" s="8"/>
      <c r="D18" s="8"/>
      <c r="E18" s="30" t="n">
        <v>0</v>
      </c>
      <c r="F18" s="8"/>
      <c r="G18" s="434" t="s">
        <v>26</v>
      </c>
      <c r="H18" s="19"/>
      <c r="I18" s="17"/>
      <c r="J18" s="20" t="n">
        <f aca="false">E18</f>
        <v>0</v>
      </c>
      <c r="K18" s="8"/>
      <c r="L18" s="24" t="s">
        <v>18</v>
      </c>
      <c r="M18" s="25" t="s">
        <v>19</v>
      </c>
      <c r="N18" s="25" t="s">
        <v>20</v>
      </c>
      <c r="O18" s="430" t="s">
        <v>21</v>
      </c>
    </row>
    <row r="19" customFormat="false" ht="15" hidden="false" customHeight="false" outlineLevel="0" collapsed="false">
      <c r="B19" s="26" t="s">
        <v>28</v>
      </c>
      <c r="C19" s="8"/>
      <c r="D19" s="8"/>
      <c r="E19" s="30" t="n">
        <v>0</v>
      </c>
      <c r="F19" s="8"/>
      <c r="G19" s="434" t="s">
        <v>28</v>
      </c>
      <c r="H19" s="19"/>
      <c r="I19" s="17"/>
      <c r="J19" s="20" t="n">
        <f aca="false">E19</f>
        <v>0</v>
      </c>
      <c r="K19" s="8"/>
      <c r="L19" s="28" t="s">
        <v>23</v>
      </c>
      <c r="M19" s="19" t="n">
        <v>10470</v>
      </c>
      <c r="N19" s="17" t="n">
        <v>38.57</v>
      </c>
      <c r="O19" s="90" t="n">
        <f aca="false">IF(N19&gt;E9,0,M19-M19*N19/E9)</f>
        <v>5085.628</v>
      </c>
    </row>
    <row r="20" customFormat="false" ht="15" hidden="false" customHeight="false" outlineLevel="0" collapsed="false">
      <c r="B20" s="26" t="s">
        <v>30</v>
      </c>
      <c r="C20" s="8"/>
      <c r="D20" s="8"/>
      <c r="E20" s="30" t="n">
        <v>0</v>
      </c>
      <c r="F20" s="8"/>
      <c r="G20" s="434" t="s">
        <v>30</v>
      </c>
      <c r="J20" s="20" t="n">
        <f aca="false">E20</f>
        <v>0</v>
      </c>
      <c r="K20" s="8"/>
      <c r="L20" s="28" t="s">
        <v>25</v>
      </c>
      <c r="M20" s="19"/>
      <c r="N20" s="17"/>
      <c r="O20" s="90"/>
    </row>
    <row r="21" customFormat="false" ht="15" hidden="false" customHeight="false" outlineLevel="0" collapsed="false">
      <c r="B21" s="44" t="s">
        <v>32</v>
      </c>
      <c r="C21" s="45"/>
      <c r="D21" s="45"/>
      <c r="E21" s="435" t="n">
        <f aca="false">E15-E16+E17+E18+E19+E20</f>
        <v>33546.5918</v>
      </c>
      <c r="F21" s="45"/>
      <c r="G21" s="436" t="s">
        <v>32</v>
      </c>
      <c r="H21" s="45"/>
      <c r="I21" s="45"/>
      <c r="J21" s="435" t="n">
        <f aca="false">J15-J16+J17+J18+J19+J20</f>
        <v>40551.1751</v>
      </c>
      <c r="K21" s="45"/>
      <c r="L21" s="437" t="s">
        <v>33</v>
      </c>
      <c r="M21" s="390"/>
      <c r="N21" s="390"/>
      <c r="O21" s="438" t="n">
        <f aca="false">SUM(O19:O20)</f>
        <v>5085.628</v>
      </c>
    </row>
    <row r="23" customFormat="false" ht="15" hidden="false" customHeight="false" outlineLevel="0" collapsed="false">
      <c r="B23" s="3" t="s">
        <v>325</v>
      </c>
      <c r="C23" s="4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  <c r="O23" s="6"/>
    </row>
    <row r="24" customFormat="false" ht="15" hidden="false" customHeight="false" outlineLevel="0" collapsed="false">
      <c r="B24" s="7"/>
      <c r="C24" s="8"/>
      <c r="D24" s="8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1"/>
    </row>
    <row r="25" customFormat="false" ht="15" hidden="false" customHeight="false" outlineLevel="0" collapsed="false">
      <c r="B25" s="96" t="s">
        <v>85</v>
      </c>
      <c r="C25" s="96"/>
      <c r="D25" s="96"/>
      <c r="E25" s="97"/>
      <c r="F25" s="97"/>
      <c r="G25" s="97"/>
      <c r="H25" s="23" t="s">
        <v>326</v>
      </c>
      <c r="I25" s="8"/>
      <c r="J25" s="23" t="s">
        <v>327</v>
      </c>
      <c r="L25" s="23" t="s">
        <v>328</v>
      </c>
      <c r="N25" s="23" t="s">
        <v>329</v>
      </c>
      <c r="O25" s="9"/>
    </row>
    <row r="26" customFormat="false" ht="15" hidden="false" customHeight="false" outlineLevel="0" collapsed="false">
      <c r="B26" s="10" t="s">
        <v>86</v>
      </c>
      <c r="C26" s="100"/>
      <c r="D26" s="100"/>
      <c r="E26" s="100"/>
      <c r="G26" s="100"/>
      <c r="H26" s="100"/>
      <c r="I26" s="8"/>
      <c r="O26" s="9"/>
    </row>
    <row r="27" customFormat="false" ht="15" hidden="false" customHeight="false" outlineLevel="0" collapsed="false">
      <c r="B27" s="26" t="s">
        <v>330</v>
      </c>
      <c r="C27" s="102"/>
      <c r="D27" s="102"/>
      <c r="E27" s="30"/>
      <c r="G27" s="20"/>
      <c r="H27" s="102" t="n">
        <f aca="false">'AAPL-3-Statements'!H99+'AAPL-3-Statements'!H100</f>
        <v>32841</v>
      </c>
      <c r="I27" s="20"/>
      <c r="J27" s="20" t="n">
        <f aca="false">1083.251+580.921</f>
        <v>1664.172</v>
      </c>
      <c r="K27" s="20"/>
      <c r="L27" s="102" t="n">
        <f aca="false">-'Merger-Model'!L8</f>
        <v>-14349.6407</v>
      </c>
      <c r="M27" s="20"/>
      <c r="N27" s="20" t="n">
        <f aca="false">H27+J27+L27</f>
        <v>20155.5313</v>
      </c>
      <c r="O27" s="73"/>
    </row>
    <row r="28" customFormat="false" ht="15" hidden="false" customHeight="false" outlineLevel="0" collapsed="false">
      <c r="B28" s="26" t="s">
        <v>89</v>
      </c>
      <c r="C28" s="8"/>
      <c r="D28" s="8"/>
      <c r="E28" s="30"/>
      <c r="G28" s="30"/>
      <c r="H28" s="102" t="n">
        <f aca="false">'AAPL-3-Statements'!H101</f>
        <v>3361</v>
      </c>
      <c r="I28" s="20"/>
      <c r="J28" s="20" t="n">
        <f aca="false">2365.106+248.162</f>
        <v>2613.268</v>
      </c>
      <c r="K28" s="20"/>
      <c r="L28" s="439" t="n">
        <v>0</v>
      </c>
      <c r="M28" s="20"/>
      <c r="N28" s="20" t="n">
        <f aca="false">H28+J28+L28</f>
        <v>5974.268</v>
      </c>
      <c r="O28" s="73"/>
    </row>
    <row r="29" customFormat="false" ht="15" hidden="false" customHeight="false" outlineLevel="0" collapsed="false">
      <c r="B29" s="26" t="s">
        <v>90</v>
      </c>
      <c r="C29" s="102"/>
      <c r="D29" s="102"/>
      <c r="E29" s="30"/>
      <c r="G29" s="30"/>
      <c r="H29" s="102" t="n">
        <f aca="false">'AAPL-3-Statements'!H102</f>
        <v>455</v>
      </c>
      <c r="I29" s="20"/>
      <c r="J29" s="30" t="n">
        <v>572.761</v>
      </c>
      <c r="K29" s="20"/>
      <c r="L29" s="439" t="n">
        <v>0</v>
      </c>
      <c r="M29" s="20"/>
      <c r="N29" s="20" t="n">
        <f aca="false">H29+J29+L29</f>
        <v>1027.761</v>
      </c>
      <c r="O29" s="73"/>
    </row>
    <row r="30" customFormat="false" ht="15" hidden="false" customHeight="false" outlineLevel="0" collapsed="false">
      <c r="B30" s="26" t="s">
        <v>91</v>
      </c>
      <c r="C30" s="102"/>
      <c r="D30" s="102"/>
      <c r="E30" s="30"/>
      <c r="G30" s="30"/>
      <c r="H30" s="102" t="n">
        <f aca="false">'AAPL-3-Statements'!H103</f>
        <v>4</v>
      </c>
      <c r="I30" s="20"/>
      <c r="J30" s="30" t="n">
        <v>175.568</v>
      </c>
      <c r="K30" s="20"/>
      <c r="L30" s="439" t="n">
        <v>0</v>
      </c>
      <c r="M30" s="20"/>
      <c r="N30" s="20" t="n">
        <f aca="false">H30+J30+L30</f>
        <v>179.568</v>
      </c>
      <c r="O30" s="73"/>
    </row>
    <row r="31" customFormat="false" ht="15" hidden="false" customHeight="false" outlineLevel="0" collapsed="false">
      <c r="B31" s="26" t="s">
        <v>92</v>
      </c>
      <c r="C31" s="75"/>
      <c r="D31" s="70"/>
      <c r="E31" s="30"/>
      <c r="G31" s="30"/>
      <c r="H31" s="102" t="n">
        <f aca="false">'AAPL-3-Statements'!H104</f>
        <v>3140</v>
      </c>
      <c r="I31" s="20"/>
      <c r="J31" s="30" t="n">
        <v>189.676</v>
      </c>
      <c r="K31" s="20"/>
      <c r="L31" s="439" t="n">
        <v>0</v>
      </c>
      <c r="M31" s="20"/>
      <c r="N31" s="20" t="n">
        <f aca="false">H31+J31+L31</f>
        <v>3329.676</v>
      </c>
      <c r="O31" s="73"/>
    </row>
    <row r="32" customFormat="false" ht="15" hidden="false" customHeight="false" outlineLevel="0" collapsed="false">
      <c r="B32" s="104" t="s">
        <v>93</v>
      </c>
      <c r="C32" s="105"/>
      <c r="D32" s="106"/>
      <c r="E32" s="107"/>
      <c r="F32" s="34"/>
      <c r="G32" s="107"/>
      <c r="H32" s="107" t="n">
        <f aca="false">SUM(H27:H31)</f>
        <v>39801</v>
      </c>
      <c r="I32" s="107"/>
      <c r="J32" s="107" t="n">
        <f aca="false">SUM(J27:J31)</f>
        <v>5215.445</v>
      </c>
      <c r="K32" s="107"/>
      <c r="L32" s="370" t="n">
        <f aca="false">SUM(L27:L31)</f>
        <v>-14349.6407</v>
      </c>
      <c r="M32" s="107"/>
      <c r="N32" s="107" t="n">
        <f aca="false">SUM(N27:N31)</f>
        <v>30666.8043</v>
      </c>
      <c r="O32" s="108"/>
    </row>
    <row r="33" customFormat="false" ht="15" hidden="false" customHeight="false" outlineLevel="0" collapsed="false">
      <c r="B33" s="7"/>
      <c r="C33" s="75"/>
      <c r="D33" s="70"/>
      <c r="E33" s="70"/>
      <c r="G33" s="70"/>
      <c r="H33" s="70"/>
      <c r="I33" s="70"/>
      <c r="J33" s="70"/>
      <c r="K33" s="70"/>
      <c r="L33" s="70"/>
      <c r="M33" s="70"/>
      <c r="N33" s="70"/>
      <c r="O33" s="71"/>
    </row>
    <row r="34" customFormat="false" ht="15" hidden="false" customHeight="false" outlineLevel="0" collapsed="false">
      <c r="B34" s="10" t="s">
        <v>94</v>
      </c>
      <c r="C34" s="75"/>
      <c r="D34" s="70"/>
      <c r="E34" s="70"/>
      <c r="G34" s="70"/>
      <c r="H34" s="70"/>
      <c r="I34" s="70"/>
      <c r="J34" s="70"/>
      <c r="K34" s="70"/>
      <c r="L34" s="70"/>
      <c r="M34" s="70"/>
      <c r="N34" s="70"/>
      <c r="O34" s="71"/>
    </row>
    <row r="35" customFormat="false" ht="15" hidden="false" customHeight="false" outlineLevel="0" collapsed="false">
      <c r="B35" s="26" t="s">
        <v>95</v>
      </c>
      <c r="C35" s="109"/>
      <c r="D35" s="20"/>
      <c r="E35" s="30"/>
      <c r="G35" s="30"/>
      <c r="H35" s="102" t="n">
        <f aca="false">'AAPL-3-Statements'!H108</f>
        <v>2554</v>
      </c>
      <c r="I35" s="20"/>
      <c r="J35" s="30" t="n">
        <v>833.575</v>
      </c>
      <c r="K35" s="20"/>
      <c r="L35" s="439" t="n">
        <v>0</v>
      </c>
      <c r="M35" s="20"/>
      <c r="N35" s="20" t="n">
        <f aca="false">H35+J35+L35</f>
        <v>3387.575</v>
      </c>
      <c r="O35" s="73"/>
    </row>
    <row r="36" customFormat="false" ht="15" hidden="false" customHeight="false" outlineLevel="0" collapsed="false">
      <c r="B36" s="26" t="s">
        <v>96</v>
      </c>
      <c r="C36" s="75"/>
      <c r="D36" s="70"/>
      <c r="E36" s="30"/>
      <c r="G36" s="30"/>
      <c r="H36" s="102" t="n">
        <f aca="false">'AAPL-3-Statements'!H109</f>
        <v>2839</v>
      </c>
      <c r="I36" s="20"/>
      <c r="J36" s="30" t="n">
        <v>1737.403</v>
      </c>
      <c r="K36" s="20"/>
      <c r="L36" s="102" t="n">
        <f aca="false">'Merger-Model'!L20</f>
        <v>173.7403</v>
      </c>
      <c r="M36" s="20"/>
      <c r="N36" s="20" t="n">
        <f aca="false">H36+J36+L36</f>
        <v>4750.1433</v>
      </c>
      <c r="O36" s="73"/>
    </row>
    <row r="37" customFormat="false" ht="15" hidden="false" customHeight="false" outlineLevel="0" collapsed="false">
      <c r="B37" s="26" t="s">
        <v>97</v>
      </c>
      <c r="C37" s="110"/>
      <c r="D37" s="111"/>
      <c r="E37" s="30"/>
      <c r="G37" s="30"/>
      <c r="H37" s="102" t="n">
        <f aca="false">'AAPL-3-Statements'!H110</f>
        <v>207</v>
      </c>
      <c r="I37" s="20"/>
      <c r="J37" s="30" t="n">
        <v>146.557</v>
      </c>
      <c r="K37" s="20"/>
      <c r="L37" s="20" t="n">
        <f aca="false">-'Merger-Model'!F21+'Merger-Model'!F28</f>
        <v>30828.178616</v>
      </c>
      <c r="M37" s="20"/>
      <c r="N37" s="20" t="n">
        <f aca="false">H37+J37+L37</f>
        <v>31181.735616</v>
      </c>
      <c r="O37" s="73"/>
    </row>
    <row r="38" customFormat="false" ht="15" hidden="false" customHeight="false" outlineLevel="0" collapsed="false">
      <c r="B38" s="112" t="s">
        <v>98</v>
      </c>
      <c r="C38" s="113"/>
      <c r="D38" s="114"/>
      <c r="E38" s="30"/>
      <c r="G38" s="30"/>
      <c r="H38" s="102" t="n">
        <f aca="false">'AAPL-3-Statements'!H111</f>
        <v>354</v>
      </c>
      <c r="I38" s="20"/>
      <c r="J38" s="30" t="n">
        <v>1291.454</v>
      </c>
      <c r="K38" s="20"/>
      <c r="L38" s="102" t="n">
        <f aca="false">'Merger-Model'!L26</f>
        <v>7241.77182</v>
      </c>
      <c r="M38" s="20"/>
      <c r="N38" s="20" t="n">
        <f aca="false">H38+J38+L38</f>
        <v>8887.22582</v>
      </c>
      <c r="O38" s="73"/>
    </row>
    <row r="39" customFormat="false" ht="15" hidden="false" customHeight="false" outlineLevel="0" collapsed="false">
      <c r="B39" s="112" t="s">
        <v>99</v>
      </c>
      <c r="C39" s="113"/>
      <c r="D39" s="114"/>
      <c r="E39" s="30"/>
      <c r="G39" s="30"/>
      <c r="H39" s="102" t="n">
        <f aca="false">'AAPL-3-Statements'!H112</f>
        <v>2011</v>
      </c>
      <c r="I39" s="20"/>
      <c r="J39" s="30" t="n">
        <v>0</v>
      </c>
      <c r="K39" s="20"/>
      <c r="L39" s="439" t="n">
        <v>0</v>
      </c>
      <c r="M39" s="20"/>
      <c r="N39" s="20" t="n">
        <f aca="false">H39+J39+L39</f>
        <v>2011</v>
      </c>
      <c r="O39" s="73"/>
    </row>
    <row r="40" customFormat="false" ht="15" hidden="false" customHeight="false" outlineLevel="0" collapsed="false">
      <c r="B40" s="104" t="s">
        <v>100</v>
      </c>
      <c r="C40" s="105"/>
      <c r="D40" s="106"/>
      <c r="E40" s="107"/>
      <c r="F40" s="34"/>
      <c r="G40" s="107"/>
      <c r="H40" s="107" t="n">
        <f aca="false">SUM(H35:H39)+H32</f>
        <v>47766</v>
      </c>
      <c r="I40" s="107"/>
      <c r="J40" s="107" t="n">
        <f aca="false">SUM(J35:J39)+J32</f>
        <v>9224.434</v>
      </c>
      <c r="K40" s="107"/>
      <c r="L40" s="107" t="n">
        <f aca="false">SUM(L35:L39)+L32</f>
        <v>23894.050036</v>
      </c>
      <c r="M40" s="107"/>
      <c r="N40" s="107" t="n">
        <f aca="false">SUM(N35:N39)+N32</f>
        <v>80884.484036</v>
      </c>
      <c r="O40" s="108"/>
    </row>
    <row r="41" customFormat="false" ht="15" hidden="false" customHeight="false" outlineLevel="0" collapsed="false">
      <c r="B41" s="115"/>
      <c r="C41" s="113"/>
      <c r="D41" s="114"/>
      <c r="E41" s="114"/>
      <c r="G41" s="114"/>
      <c r="H41" s="114"/>
      <c r="I41" s="114"/>
      <c r="J41" s="114"/>
      <c r="K41" s="114"/>
      <c r="L41" s="114"/>
      <c r="M41" s="114"/>
      <c r="N41" s="114"/>
      <c r="O41" s="116"/>
    </row>
    <row r="42" customFormat="false" ht="15" hidden="false" customHeight="false" outlineLevel="0" collapsed="false">
      <c r="B42" s="117" t="s">
        <v>101</v>
      </c>
      <c r="C42" s="117"/>
      <c r="D42" s="117"/>
      <c r="E42" s="117"/>
      <c r="G42" s="118"/>
      <c r="H42" s="118"/>
      <c r="I42" s="118"/>
      <c r="J42" s="118"/>
      <c r="K42" s="118"/>
      <c r="L42" s="118"/>
      <c r="M42" s="118"/>
      <c r="N42" s="118"/>
      <c r="O42" s="119"/>
    </row>
    <row r="43" customFormat="false" ht="15" hidden="false" customHeight="false" outlineLevel="0" collapsed="false">
      <c r="B43" s="10" t="s">
        <v>102</v>
      </c>
      <c r="C43" s="75"/>
      <c r="D43" s="70"/>
      <c r="E43" s="70"/>
      <c r="G43" s="70"/>
      <c r="H43" s="70"/>
      <c r="I43" s="70"/>
      <c r="J43" s="70"/>
      <c r="K43" s="70"/>
      <c r="L43" s="70"/>
      <c r="M43" s="70"/>
      <c r="N43" s="70"/>
      <c r="O43" s="71"/>
    </row>
    <row r="44" customFormat="false" ht="15" hidden="false" customHeight="false" outlineLevel="0" collapsed="false">
      <c r="B44" s="26" t="s">
        <v>103</v>
      </c>
      <c r="C44" s="75"/>
      <c r="D44" s="70"/>
      <c r="E44" s="30"/>
      <c r="G44" s="30"/>
      <c r="H44" s="102" t="n">
        <f aca="false">'AAPL-3-Statements'!H117</f>
        <v>5601</v>
      </c>
      <c r="I44" s="20"/>
      <c r="J44" s="30" t="n">
        <v>496.005</v>
      </c>
      <c r="K44" s="20"/>
      <c r="L44" s="439" t="n">
        <v>0</v>
      </c>
      <c r="M44" s="20"/>
      <c r="N44" s="20" t="n">
        <f aca="false">H44+J44+L44</f>
        <v>6097.005</v>
      </c>
      <c r="O44" s="73"/>
    </row>
    <row r="45" customFormat="false" ht="15" hidden="false" customHeight="false" outlineLevel="0" collapsed="false">
      <c r="B45" s="26" t="s">
        <v>104</v>
      </c>
      <c r="C45" s="75"/>
      <c r="D45" s="70"/>
      <c r="E45" s="30"/>
      <c r="G45" s="30"/>
      <c r="H45" s="102" t="n">
        <f aca="false">'AAPL-3-Statements'!H118</f>
        <v>3852</v>
      </c>
      <c r="I45" s="20"/>
      <c r="J45" s="30" t="n">
        <v>1603.842</v>
      </c>
      <c r="K45" s="20"/>
      <c r="L45" s="439" t="n">
        <v>0</v>
      </c>
      <c r="M45" s="20"/>
      <c r="N45" s="20" t="n">
        <f aca="false">H45+J45+L45</f>
        <v>5455.842</v>
      </c>
      <c r="O45" s="73"/>
    </row>
    <row r="46" customFormat="false" ht="15" hidden="false" customHeight="false" outlineLevel="0" collapsed="false">
      <c r="B46" s="26" t="s">
        <v>105</v>
      </c>
      <c r="C46" s="8"/>
      <c r="D46" s="8"/>
      <c r="E46" s="30"/>
      <c r="G46" s="30"/>
      <c r="H46" s="102" t="n">
        <f aca="false">'AAPL-3-Statements'!H119</f>
        <v>2053</v>
      </c>
      <c r="I46" s="20"/>
      <c r="J46" s="30" t="n">
        <v>66.912</v>
      </c>
      <c r="K46" s="20"/>
      <c r="L46" s="439" t="n">
        <v>0</v>
      </c>
      <c r="M46" s="20"/>
      <c r="N46" s="20" t="n">
        <f aca="false">H46+J46+L46</f>
        <v>2119.912</v>
      </c>
      <c r="O46" s="73"/>
    </row>
    <row r="47" customFormat="false" ht="15" hidden="false" customHeight="false" outlineLevel="0" collapsed="false">
      <c r="B47" s="104" t="s">
        <v>106</v>
      </c>
      <c r="C47" s="34"/>
      <c r="D47" s="34"/>
      <c r="E47" s="107"/>
      <c r="F47" s="34"/>
      <c r="G47" s="107"/>
      <c r="H47" s="107" t="n">
        <f aca="false">SUM(H44:H46)</f>
        <v>11506</v>
      </c>
      <c r="I47" s="107"/>
      <c r="J47" s="107" t="n">
        <f aca="false">SUM(J44:J46)</f>
        <v>2166.759</v>
      </c>
      <c r="K47" s="107"/>
      <c r="L47" s="107" t="n">
        <f aca="false">SUM(L44:L46)</f>
        <v>0</v>
      </c>
      <c r="M47" s="107"/>
      <c r="N47" s="107" t="n">
        <f aca="false">SUM(N44:N46)</f>
        <v>13672.759</v>
      </c>
      <c r="O47" s="108"/>
    </row>
    <row r="48" customFormat="false" ht="15" hidden="false" customHeight="false" outlineLevel="0" collapsed="false">
      <c r="B48" s="7"/>
      <c r="C48" s="8"/>
      <c r="D48" s="8"/>
      <c r="E48" s="8"/>
      <c r="G48" s="8"/>
      <c r="H48" s="8"/>
      <c r="I48" s="8"/>
      <c r="J48" s="8"/>
      <c r="K48" s="8"/>
      <c r="L48" s="8"/>
      <c r="M48" s="8"/>
      <c r="N48" s="8"/>
      <c r="O48" s="9"/>
    </row>
    <row r="49" customFormat="false" ht="15" hidden="false" customHeight="false" outlineLevel="0" collapsed="false">
      <c r="B49" s="10" t="s">
        <v>107</v>
      </c>
      <c r="C49" s="8"/>
      <c r="D49" s="8"/>
      <c r="E49" s="8"/>
      <c r="G49" s="8"/>
      <c r="H49" s="8"/>
      <c r="I49" s="8"/>
      <c r="J49" s="8"/>
      <c r="K49" s="8"/>
      <c r="L49" s="8"/>
      <c r="M49" s="8"/>
      <c r="N49" s="8"/>
      <c r="O49" s="9"/>
    </row>
    <row r="50" customFormat="false" ht="15" hidden="false" customHeight="false" outlineLevel="0" collapsed="false">
      <c r="B50" s="26" t="s">
        <v>105</v>
      </c>
      <c r="C50" s="8"/>
      <c r="D50" s="8"/>
      <c r="E50" s="30"/>
      <c r="G50" s="30"/>
      <c r="H50" s="102" t="n">
        <f aca="false">'AAPL-3-Statements'!H123</f>
        <v>853</v>
      </c>
      <c r="I50" s="20"/>
      <c r="J50" s="30" t="n">
        <v>0</v>
      </c>
      <c r="K50" s="20"/>
      <c r="L50" s="439" t="n">
        <v>0</v>
      </c>
      <c r="M50" s="20"/>
      <c r="N50" s="20" t="n">
        <f aca="false">H50+J50+L50</f>
        <v>853</v>
      </c>
      <c r="O50" s="73"/>
    </row>
    <row r="51" customFormat="false" ht="15" hidden="false" customHeight="false" outlineLevel="0" collapsed="false">
      <c r="B51" s="26" t="s">
        <v>108</v>
      </c>
      <c r="C51" s="8"/>
      <c r="D51" s="8"/>
      <c r="E51" s="30"/>
      <c r="G51" s="30"/>
      <c r="H51" s="102" t="n">
        <f aca="false">'AAPL-3-Statements'!H124</f>
        <v>0</v>
      </c>
      <c r="I51" s="20"/>
      <c r="J51" s="30" t="n">
        <v>0</v>
      </c>
      <c r="K51" s="20"/>
      <c r="L51" s="102" t="n">
        <f aca="false">'Merger-Model'!L9</f>
        <v>14349.6407</v>
      </c>
      <c r="M51" s="20"/>
      <c r="N51" s="20" t="n">
        <f aca="false">H51+J51+L51</f>
        <v>14349.6407</v>
      </c>
      <c r="O51" s="73"/>
    </row>
    <row r="52" customFormat="false" ht="15" hidden="false" customHeight="false" outlineLevel="0" collapsed="false">
      <c r="B52" s="26" t="s">
        <v>331</v>
      </c>
      <c r="C52" s="8"/>
      <c r="D52" s="8"/>
      <c r="E52" s="30"/>
      <c r="G52" s="30"/>
      <c r="H52" s="30" t="n">
        <v>0</v>
      </c>
      <c r="I52" s="20"/>
      <c r="J52" s="30" t="n">
        <v>43.265</v>
      </c>
      <c r="K52" s="20"/>
      <c r="L52" s="20" t="n">
        <f aca="false">'Merger-Model'!F26+'Merger-Model'!F27</f>
        <v>2181.388636</v>
      </c>
      <c r="M52" s="20"/>
      <c r="N52" s="20" t="n">
        <f aca="false">H52+J52+L52</f>
        <v>2224.653636</v>
      </c>
      <c r="O52" s="73"/>
    </row>
    <row r="53" customFormat="false" ht="15" hidden="false" customHeight="false" outlineLevel="0" collapsed="false">
      <c r="B53" s="26" t="s">
        <v>109</v>
      </c>
      <c r="C53" s="8"/>
      <c r="D53" s="8"/>
      <c r="E53" s="30"/>
      <c r="G53" s="30"/>
      <c r="H53" s="102" t="n">
        <f aca="false">'AAPL-3-Statements'!H125</f>
        <v>3502</v>
      </c>
      <c r="I53" s="20"/>
      <c r="J53" s="30" t="n">
        <v>27.79</v>
      </c>
      <c r="K53" s="20"/>
      <c r="L53" s="439" t="n">
        <v>0</v>
      </c>
      <c r="M53" s="20"/>
      <c r="N53" s="20" t="n">
        <f aca="false">H53+J53+L53</f>
        <v>3529.79</v>
      </c>
      <c r="O53" s="73"/>
    </row>
    <row r="54" customFormat="false" ht="15" hidden="false" customHeight="false" outlineLevel="0" collapsed="false">
      <c r="B54" s="104" t="s">
        <v>110</v>
      </c>
      <c r="C54" s="34"/>
      <c r="D54" s="34"/>
      <c r="E54" s="107"/>
      <c r="F54" s="34"/>
      <c r="G54" s="107"/>
      <c r="H54" s="107" t="n">
        <f aca="false">SUM(H50:H53)+H47</f>
        <v>15861</v>
      </c>
      <c r="I54" s="107"/>
      <c r="J54" s="107" t="n">
        <f aca="false">SUM(J50:J53)+J47</f>
        <v>2237.814</v>
      </c>
      <c r="K54" s="107"/>
      <c r="L54" s="107" t="n">
        <f aca="false">SUM(L50:L53)+L47</f>
        <v>16531.029336</v>
      </c>
      <c r="M54" s="107"/>
      <c r="N54" s="107" t="n">
        <f aca="false">SUM(N50:N53)+N47</f>
        <v>34629.843336</v>
      </c>
      <c r="O54" s="108"/>
    </row>
    <row r="55" customFormat="false" ht="15" hidden="false" customHeight="false" outlineLevel="0" collapsed="false">
      <c r="B55" s="7"/>
      <c r="C55" s="8"/>
      <c r="D55" s="8"/>
      <c r="E55" s="8"/>
      <c r="G55" s="8"/>
      <c r="H55" s="8"/>
      <c r="I55" s="8"/>
      <c r="J55" s="8"/>
      <c r="K55" s="8"/>
      <c r="L55" s="8"/>
      <c r="M55" s="8"/>
      <c r="N55" s="8"/>
      <c r="O55" s="9"/>
    </row>
    <row r="56" customFormat="false" ht="15" hidden="false" customHeight="false" outlineLevel="0" collapsed="false">
      <c r="B56" s="10" t="s">
        <v>111</v>
      </c>
      <c r="C56" s="8"/>
      <c r="D56" s="8"/>
      <c r="E56" s="8"/>
      <c r="G56" s="8"/>
      <c r="H56" s="8"/>
      <c r="I56" s="8"/>
      <c r="J56" s="8"/>
      <c r="K56" s="8"/>
      <c r="L56" s="8"/>
      <c r="M56" s="8"/>
      <c r="N56" s="8"/>
      <c r="O56" s="9"/>
    </row>
    <row r="57" customFormat="false" ht="15" hidden="false" customHeight="false" outlineLevel="0" collapsed="false">
      <c r="B57" s="26" t="s">
        <v>112</v>
      </c>
      <c r="C57" s="8"/>
      <c r="D57" s="8"/>
      <c r="E57" s="30"/>
      <c r="G57" s="30"/>
      <c r="H57" s="102" t="n">
        <f aca="false">'AAPL-3-Statements'!H129</f>
        <v>7177</v>
      </c>
      <c r="I57" s="20"/>
      <c r="J57" s="30" t="n">
        <v>2236.19</v>
      </c>
      <c r="K57" s="20"/>
      <c r="L57" s="20" t="n">
        <f aca="false">-J57</f>
        <v>-2236.19</v>
      </c>
      <c r="M57" s="20"/>
      <c r="N57" s="20" t="n">
        <f aca="false">H57+J57+L57</f>
        <v>7177</v>
      </c>
      <c r="O57" s="73"/>
    </row>
    <row r="58" customFormat="false" ht="15" hidden="false" customHeight="false" outlineLevel="0" collapsed="false">
      <c r="B58" s="26" t="s">
        <v>113</v>
      </c>
      <c r="C58" s="8"/>
      <c r="D58" s="8"/>
      <c r="E58" s="30"/>
      <c r="G58" s="30"/>
      <c r="H58" s="102" t="n">
        <f aca="false">'AAPL-3-Statements'!H130</f>
        <v>1185</v>
      </c>
      <c r="I58" s="20"/>
      <c r="J58" s="30" t="n">
        <v>139.113</v>
      </c>
      <c r="K58" s="20"/>
      <c r="L58" s="20" t="n">
        <f aca="false">-J58+'Merger-Model'!F10*'Merger-Model'!L7</f>
        <v>14210.5277</v>
      </c>
      <c r="M58" s="20"/>
      <c r="N58" s="20" t="n">
        <f aca="false">H58+J58+L58</f>
        <v>15534.6407</v>
      </c>
      <c r="O58" s="73"/>
    </row>
    <row r="59" customFormat="false" ht="15" hidden="false" customHeight="false" outlineLevel="0" collapsed="false">
      <c r="B59" s="26" t="s">
        <v>114</v>
      </c>
      <c r="C59" s="8"/>
      <c r="D59" s="8"/>
      <c r="E59" s="30"/>
      <c r="G59" s="30"/>
      <c r="H59" s="102" t="n">
        <f aca="false">'AAPL-3-Statements'!H131</f>
        <v>0</v>
      </c>
      <c r="I59" s="20"/>
      <c r="J59" s="30" t="n">
        <v>-45.081</v>
      </c>
      <c r="K59" s="20"/>
      <c r="L59" s="20" t="n">
        <f aca="false">-J59</f>
        <v>45.081</v>
      </c>
      <c r="M59" s="20"/>
      <c r="N59" s="20" t="n">
        <f aca="false">H59+J59+L59</f>
        <v>0</v>
      </c>
      <c r="O59" s="73"/>
    </row>
    <row r="60" customFormat="false" ht="15" hidden="false" customHeight="false" outlineLevel="0" collapsed="false">
      <c r="B60" s="26" t="s">
        <v>115</v>
      </c>
      <c r="C60" s="8"/>
      <c r="D60" s="8"/>
      <c r="E60" s="30"/>
      <c r="G60" s="30"/>
      <c r="H60" s="102" t="n">
        <f aca="false">'AAPL-3-Statements'!H132</f>
        <v>23364</v>
      </c>
      <c r="I60" s="20"/>
      <c r="J60" s="30" t="n">
        <v>4664.361</v>
      </c>
      <c r="K60" s="20"/>
      <c r="L60" s="20" t="n">
        <f aca="false">-J60</f>
        <v>-4664.361</v>
      </c>
      <c r="M60" s="20"/>
      <c r="N60" s="20" t="n">
        <f aca="false">H60+J60+L60</f>
        <v>23364</v>
      </c>
      <c r="O60" s="73"/>
    </row>
    <row r="61" customFormat="false" ht="15" hidden="false" customHeight="false" outlineLevel="0" collapsed="false">
      <c r="B61" s="26" t="s">
        <v>116</v>
      </c>
      <c r="C61" s="8"/>
      <c r="D61" s="8"/>
      <c r="E61" s="30"/>
      <c r="G61" s="30"/>
      <c r="H61" s="102" t="n">
        <f aca="false">'AAPL-3-Statements'!H133</f>
        <v>179</v>
      </c>
      <c r="I61" s="20"/>
      <c r="J61" s="30" t="n">
        <v>-7.963</v>
      </c>
      <c r="K61" s="20"/>
      <c r="L61" s="20" t="n">
        <f aca="false">-J61</f>
        <v>7.963</v>
      </c>
      <c r="M61" s="20"/>
      <c r="N61" s="20" t="n">
        <f aca="false">H61+J61+L61</f>
        <v>179</v>
      </c>
      <c r="O61" s="73"/>
    </row>
    <row r="62" customFormat="false" ht="15" hidden="false" customHeight="false" outlineLevel="0" collapsed="false">
      <c r="B62" s="104" t="s">
        <v>117</v>
      </c>
      <c r="C62" s="34"/>
      <c r="D62" s="34"/>
      <c r="E62" s="107"/>
      <c r="F62" s="34"/>
      <c r="G62" s="107"/>
      <c r="H62" s="107" t="n">
        <f aca="false">SUM(H57:H61)</f>
        <v>31905</v>
      </c>
      <c r="I62" s="107"/>
      <c r="J62" s="107" t="n">
        <f aca="false">SUM(J57:J61)</f>
        <v>6986.62</v>
      </c>
      <c r="K62" s="107"/>
      <c r="L62" s="107" t="n">
        <f aca="false">SUM(L57:L61)</f>
        <v>7363.0207</v>
      </c>
      <c r="M62" s="107"/>
      <c r="N62" s="107" t="n">
        <f aca="false">SUM(N57:N61)</f>
        <v>46254.6407</v>
      </c>
      <c r="O62" s="108"/>
    </row>
    <row r="63" customFormat="false" ht="15" hidden="false" customHeight="false" outlineLevel="0" collapsed="false">
      <c r="B63" s="7"/>
      <c r="C63" s="8"/>
      <c r="D63" s="8"/>
      <c r="E63" s="8"/>
      <c r="G63" s="8"/>
      <c r="H63" s="8"/>
      <c r="I63" s="8"/>
      <c r="J63" s="8"/>
      <c r="K63" s="8"/>
      <c r="L63" s="8"/>
      <c r="M63" s="8"/>
      <c r="N63" s="8"/>
      <c r="O63" s="9"/>
    </row>
    <row r="64" customFormat="false" ht="15" hidden="false" customHeight="false" outlineLevel="0" collapsed="false">
      <c r="B64" s="44" t="s">
        <v>118</v>
      </c>
      <c r="C64" s="45"/>
      <c r="D64" s="45"/>
      <c r="E64" s="120"/>
      <c r="F64" s="45"/>
      <c r="G64" s="120"/>
      <c r="H64" s="120" t="n">
        <f aca="false">H62+H54</f>
        <v>47766</v>
      </c>
      <c r="I64" s="120"/>
      <c r="J64" s="120" t="n">
        <f aca="false">J62+J54</f>
        <v>9224.434</v>
      </c>
      <c r="K64" s="120"/>
      <c r="L64" s="120" t="n">
        <f aca="false">L62+L54</f>
        <v>23894.050036</v>
      </c>
      <c r="M64" s="120"/>
      <c r="N64" s="120" t="n">
        <f aca="false">N62+N54</f>
        <v>80884.484036</v>
      </c>
      <c r="O64" s="121"/>
    </row>
    <row r="66" customFormat="false" ht="15" hidden="false" customHeight="false" outlineLevel="0" collapsed="false">
      <c r="B66" s="1"/>
      <c r="G66" s="122"/>
      <c r="H66" s="122"/>
      <c r="I66" s="122"/>
      <c r="J66" s="122"/>
      <c r="K66" s="122"/>
      <c r="L66" s="122"/>
      <c r="M66" s="122"/>
      <c r="N66" s="122"/>
      <c r="O66" s="122"/>
    </row>
  </sheetData>
  <mergeCells count="4">
    <mergeCell ref="B11:E11"/>
    <mergeCell ref="G11:J11"/>
    <mergeCell ref="B25:D25"/>
    <mergeCell ref="B42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168"/>
  <sheetViews>
    <sheetView showFormulas="false" showGridLines="true" showRowColHeaders="true" showZeros="true" rightToLeft="false" tabSelected="false" showOutlineSymbols="true" defaultGridColor="true" view="normal" topLeftCell="A110" colorId="64" zoomScale="100" zoomScaleNormal="100" zoomScalePageLayoutView="100" workbookViewId="0">
      <selection pane="topLeft" activeCell="I117" activeCellId="0" sqref="I117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4" min="4" style="0" width="9.14"/>
    <col collapsed="false" customWidth="true" hidden="false" outlineLevel="0" max="5" min="5" style="0" width="9.71"/>
    <col collapsed="false" customWidth="true" hidden="false" outlineLevel="0" max="7" min="6" style="0" width="9.14"/>
    <col collapsed="false" customWidth="true" hidden="false" outlineLevel="0" max="8" min="8" style="0" width="9.99"/>
    <col collapsed="false" customWidth="true" hidden="false" outlineLevel="0" max="13" min="12" style="0" width="9.28"/>
    <col collapsed="false" customWidth="true" hidden="false" outlineLevel="0" max="15" min="15" style="0" width="9.28"/>
  </cols>
  <sheetData>
    <row r="2" customFormat="false" ht="15" hidden="false" customHeight="false" outlineLevel="0" collapsed="false">
      <c r="B2" s="1" t="str">
        <f aca="false">Company_Name&amp;" - Basic LBO Model"</f>
        <v>Apple Inc. - Basic LBO Model</v>
      </c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260</v>
      </c>
      <c r="C5" s="4"/>
      <c r="D5" s="4"/>
      <c r="E5" s="4"/>
      <c r="F5" s="4"/>
      <c r="G5" s="4"/>
      <c r="H5" s="5"/>
      <c r="I5" s="5"/>
      <c r="J5" s="5"/>
      <c r="K5" s="5"/>
      <c r="L5" s="5"/>
      <c r="M5" s="6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customFormat="false" ht="15" hidden="false" customHeight="false" outlineLevel="0" collapsed="false">
      <c r="B7" s="7" t="s">
        <v>322</v>
      </c>
      <c r="C7" s="8"/>
      <c r="D7" s="8"/>
      <c r="E7" s="8"/>
      <c r="F7" s="427" t="n">
        <f aca="false">Share_Price</f>
        <v>192.06</v>
      </c>
      <c r="G7" s="8"/>
      <c r="H7" s="8" t="s">
        <v>262</v>
      </c>
      <c r="I7" s="8"/>
      <c r="J7" s="8"/>
      <c r="K7" s="8"/>
      <c r="L7" s="27" t="n">
        <f aca="false">F17</f>
        <v>212713.425279256</v>
      </c>
      <c r="M7" s="9"/>
    </row>
    <row r="8" customFormat="false" ht="15" hidden="false" customHeight="false" outlineLevel="0" collapsed="false">
      <c r="B8" s="7" t="s">
        <v>332</v>
      </c>
      <c r="C8" s="8"/>
      <c r="D8" s="8"/>
      <c r="E8" s="8"/>
      <c r="F8" s="357" t="n">
        <v>0.2</v>
      </c>
      <c r="G8" s="8"/>
      <c r="H8" s="0" t="s">
        <v>32</v>
      </c>
      <c r="I8" s="8"/>
      <c r="J8" s="8"/>
      <c r="K8" s="8"/>
      <c r="L8" s="27" t="n">
        <f aca="false">F23</f>
        <v>177318.425279256</v>
      </c>
      <c r="M8" s="9"/>
    </row>
    <row r="9" customFormat="false" ht="15" hidden="false" customHeight="false" outlineLevel="0" collapsed="false">
      <c r="B9" s="7" t="s">
        <v>321</v>
      </c>
      <c r="C9" s="8"/>
      <c r="D9" s="8"/>
      <c r="E9" s="8"/>
      <c r="F9" s="440" t="n">
        <f aca="false">F7*(1+F8)</f>
        <v>230.472</v>
      </c>
      <c r="G9" s="8"/>
      <c r="H9" s="0" t="s">
        <v>333</v>
      </c>
      <c r="I9" s="8"/>
      <c r="J9" s="8"/>
      <c r="K9" s="8"/>
      <c r="L9" s="42" t="n">
        <f aca="false">L8/'AAPL-3-Statements'!H91</f>
        <v>13.4495164805261</v>
      </c>
      <c r="M9" s="9"/>
    </row>
    <row r="10" customFormat="false" ht="15" hidden="false" customHeight="false" outlineLevel="0" collapsed="false">
      <c r="B10" s="7" t="s">
        <v>265</v>
      </c>
      <c r="C10" s="8"/>
      <c r="D10" s="8"/>
      <c r="E10" s="8"/>
      <c r="F10" s="357" t="n">
        <v>0.5</v>
      </c>
      <c r="G10" s="8"/>
      <c r="H10" s="8" t="s">
        <v>334</v>
      </c>
      <c r="I10" s="8"/>
      <c r="J10" s="8"/>
      <c r="K10" s="8"/>
      <c r="L10" s="27" t="n">
        <f aca="false">F10*L7</f>
        <v>106356.712639628</v>
      </c>
      <c r="M10" s="9"/>
    </row>
    <row r="11" customFormat="false" ht="15" hidden="false" customHeight="false" outlineLevel="0" collapsed="false">
      <c r="B11" s="7" t="s">
        <v>335</v>
      </c>
      <c r="C11" s="8"/>
      <c r="D11" s="8"/>
      <c r="E11" s="8"/>
      <c r="F11" s="441" t="n">
        <f aca="false">1-F10</f>
        <v>0.5</v>
      </c>
      <c r="G11" s="8"/>
      <c r="H11" s="360" t="s">
        <v>336</v>
      </c>
      <c r="I11" s="8"/>
      <c r="J11" s="8"/>
      <c r="K11" s="8"/>
      <c r="L11" s="27" t="n">
        <f aca="false">F11*L7</f>
        <v>106356.712639628</v>
      </c>
      <c r="M11" s="9"/>
    </row>
    <row r="12" customFormat="false" ht="15" hidden="false" customHeight="false" outlineLevel="0" collapsed="false">
      <c r="B12" s="7"/>
      <c r="C12" s="8"/>
      <c r="D12" s="8"/>
      <c r="E12" s="8"/>
      <c r="F12" s="441"/>
      <c r="G12" s="8"/>
      <c r="H12" s="360" t="s">
        <v>337</v>
      </c>
      <c r="I12" s="8"/>
      <c r="J12" s="8"/>
      <c r="K12" s="8"/>
      <c r="L12" s="442" t="n">
        <v>10</v>
      </c>
      <c r="M12" s="9"/>
    </row>
    <row r="13" customFormat="false" ht="15" hidden="false" customHeight="false" outlineLevel="0" collapsed="false">
      <c r="B13" s="431" t="s">
        <v>338</v>
      </c>
      <c r="C13" s="431"/>
      <c r="D13" s="431"/>
      <c r="E13" s="431"/>
      <c r="F13" s="441"/>
      <c r="G13" s="8"/>
      <c r="M13" s="9"/>
    </row>
    <row r="14" customFormat="false" ht="15" hidden="false" customHeight="false" outlineLevel="0" collapsed="false">
      <c r="B14" s="10" t="s">
        <v>12</v>
      </c>
      <c r="F14" s="131" t="n">
        <f aca="false">'AAPL-3-Statements'!E11</f>
        <v>900678.473</v>
      </c>
      <c r="G14" s="8"/>
      <c r="H14" s="8" t="s">
        <v>339</v>
      </c>
      <c r="I14" s="8"/>
      <c r="J14" s="8"/>
      <c r="K14" s="8"/>
      <c r="L14" s="443" t="n">
        <v>0.0002</v>
      </c>
      <c r="M14" s="9"/>
      <c r="O14" s="444"/>
      <c r="P14" s="103"/>
      <c r="T14" s="444"/>
    </row>
    <row r="15" customFormat="false" ht="15" hidden="false" customHeight="false" outlineLevel="0" collapsed="false">
      <c r="B15" s="10" t="s">
        <v>14</v>
      </c>
      <c r="F15" s="20" t="n">
        <f aca="false">F14/Units*F9</f>
        <v>207581.169029256</v>
      </c>
      <c r="G15" s="8"/>
      <c r="H15" s="8" t="s">
        <v>340</v>
      </c>
      <c r="I15" s="8"/>
      <c r="J15" s="8"/>
      <c r="K15" s="8"/>
      <c r="L15" s="443" t="n">
        <v>0.0006</v>
      </c>
      <c r="M15" s="9"/>
      <c r="O15" s="444"/>
    </row>
    <row r="16" customFormat="false" ht="15" hidden="false" customHeight="false" outlineLevel="0" collapsed="false">
      <c r="B16" s="10" t="s">
        <v>15</v>
      </c>
      <c r="F16" s="21" t="n">
        <f aca="false">F14+K23</f>
        <v>922946.931858343</v>
      </c>
      <c r="G16" s="8"/>
      <c r="L16" s="8"/>
      <c r="M16" s="9"/>
      <c r="O16" s="444"/>
      <c r="P16" s="444"/>
      <c r="Q16" s="444"/>
      <c r="R16" s="444"/>
      <c r="S16" s="444"/>
      <c r="T16" s="444"/>
    </row>
    <row r="17" customFormat="false" ht="15" hidden="false" customHeight="false" outlineLevel="0" collapsed="false">
      <c r="B17" s="10" t="s">
        <v>17</v>
      </c>
      <c r="F17" s="20" t="n">
        <f aca="false">F16/Units*F9</f>
        <v>212713.425279256</v>
      </c>
      <c r="G17" s="8"/>
      <c r="H17" s="12" t="s">
        <v>324</v>
      </c>
      <c r="I17" s="8"/>
      <c r="J17" s="8"/>
      <c r="K17" s="8"/>
      <c r="L17" s="8"/>
      <c r="M17" s="9"/>
    </row>
    <row r="18" customFormat="false" ht="15" hidden="false" customHeight="false" outlineLevel="0" collapsed="false">
      <c r="B18" s="26" t="s">
        <v>22</v>
      </c>
      <c r="F18" s="102" t="n">
        <f aca="false">'AAPL-3-Statements'!E15</f>
        <v>35395</v>
      </c>
      <c r="G18" s="8"/>
      <c r="H18" s="8"/>
      <c r="I18" s="8"/>
      <c r="J18" s="8"/>
      <c r="K18" s="8"/>
      <c r="L18" s="8"/>
      <c r="M18" s="9"/>
      <c r="T18" s="444"/>
      <c r="V18" s="444"/>
    </row>
    <row r="19" customFormat="false" ht="15" hidden="false" customHeight="false" outlineLevel="0" collapsed="false">
      <c r="B19" s="26" t="s">
        <v>24</v>
      </c>
      <c r="F19" s="102" t="n">
        <f aca="false">'AAPL-3-Statements'!E16</f>
        <v>0</v>
      </c>
      <c r="G19" s="8"/>
      <c r="H19" s="23"/>
      <c r="I19" s="23"/>
      <c r="J19" s="23" t="s">
        <v>16</v>
      </c>
      <c r="K19" s="23"/>
      <c r="L19" s="8"/>
      <c r="M19" s="9"/>
      <c r="T19" s="444"/>
      <c r="V19" s="444"/>
    </row>
    <row r="20" customFormat="false" ht="15" hidden="false" customHeight="false" outlineLevel="0" collapsed="false">
      <c r="B20" s="26" t="s">
        <v>26</v>
      </c>
      <c r="C20" s="19"/>
      <c r="D20" s="17"/>
      <c r="F20" s="102" t="n">
        <f aca="false">'AAPL-3-Statements'!E17</f>
        <v>0</v>
      </c>
      <c r="G20" s="8"/>
      <c r="H20" s="24" t="s">
        <v>18</v>
      </c>
      <c r="I20" s="25" t="s">
        <v>19</v>
      </c>
      <c r="J20" s="25" t="s">
        <v>20</v>
      </c>
      <c r="K20" s="24" t="s">
        <v>21</v>
      </c>
      <c r="L20" s="8"/>
      <c r="M20" s="9"/>
    </row>
    <row r="21" customFormat="false" ht="15" hidden="false" customHeight="false" outlineLevel="0" collapsed="false">
      <c r="B21" s="26" t="s">
        <v>28</v>
      </c>
      <c r="C21" s="19"/>
      <c r="D21" s="17"/>
      <c r="F21" s="102" t="n">
        <f aca="false">'AAPL-3-Statements'!E18</f>
        <v>0</v>
      </c>
      <c r="G21" s="8"/>
      <c r="H21" s="28" t="s">
        <v>23</v>
      </c>
      <c r="I21" s="131" t="n">
        <f aca="false">'AAPL-3-Statements'!H15</f>
        <v>34375</v>
      </c>
      <c r="J21" s="427" t="n">
        <f aca="false">'AAPL-3-Statements'!I15</f>
        <v>81.17</v>
      </c>
      <c r="K21" s="21" t="n">
        <f aca="false">IF(J21&gt;F9,0,I21-I21*J21/F9)</f>
        <v>22268.4588583429</v>
      </c>
      <c r="L21" s="8"/>
      <c r="M21" s="9"/>
      <c r="T21" s="152"/>
      <c r="V21" s="152"/>
    </row>
    <row r="22" customFormat="false" ht="15" hidden="false" customHeight="false" outlineLevel="0" collapsed="false">
      <c r="B22" s="26" t="s">
        <v>30</v>
      </c>
      <c r="F22" s="102" t="n">
        <f aca="false">'AAPL-3-Statements'!E19</f>
        <v>0</v>
      </c>
      <c r="G22" s="8"/>
      <c r="H22" s="28" t="s">
        <v>25</v>
      </c>
      <c r="I22" s="19"/>
      <c r="J22" s="17"/>
      <c r="K22" s="21"/>
      <c r="L22" s="8"/>
      <c r="M22" s="9"/>
    </row>
    <row r="23" customFormat="false" ht="15" hidden="false" customHeight="false" outlineLevel="0" collapsed="false">
      <c r="B23" s="44" t="s">
        <v>32</v>
      </c>
      <c r="C23" s="45"/>
      <c r="D23" s="45"/>
      <c r="E23" s="45"/>
      <c r="F23" s="435" t="n">
        <f aca="false">F17-F18+F19+F20+F21+F22</f>
        <v>177318.425279256</v>
      </c>
      <c r="G23" s="45"/>
      <c r="H23" s="437" t="s">
        <v>33</v>
      </c>
      <c r="I23" s="390"/>
      <c r="J23" s="390"/>
      <c r="K23" s="445" t="n">
        <f aca="false">SUM(K21:K22)</f>
        <v>22268.4588583429</v>
      </c>
      <c r="L23" s="45"/>
      <c r="M23" s="364"/>
    </row>
    <row r="25" customFormat="false" ht="15" hidden="false" customHeight="false" outlineLevel="0" collapsed="false">
      <c r="B25" s="3" t="s">
        <v>341</v>
      </c>
      <c r="C25" s="4"/>
      <c r="D25" s="4"/>
      <c r="E25" s="4"/>
      <c r="F25" s="4"/>
      <c r="G25" s="4"/>
      <c r="H25" s="5"/>
      <c r="I25" s="5"/>
      <c r="J25" s="5"/>
      <c r="K25" s="5"/>
      <c r="L25" s="5"/>
      <c r="M25" s="6"/>
    </row>
    <row r="26" customFormat="false" ht="15" hidden="false" customHeight="false" outlineLevel="0" collapsed="false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9"/>
    </row>
    <row r="27" customFormat="false" ht="15" hidden="false" customHeight="false" outlineLevel="0" collapsed="false">
      <c r="B27" s="7" t="s">
        <v>342</v>
      </c>
      <c r="C27" s="8"/>
      <c r="D27" s="8"/>
      <c r="E27" s="8"/>
      <c r="F27" s="446" t="n">
        <f aca="false">F10</f>
        <v>0.5</v>
      </c>
      <c r="G27" s="8"/>
      <c r="H27" s="8" t="s">
        <v>334</v>
      </c>
      <c r="I27" s="8"/>
      <c r="J27" s="8"/>
      <c r="K27" s="8"/>
      <c r="L27" s="27" t="n">
        <f aca="false">L10</f>
        <v>106356.712639628</v>
      </c>
      <c r="M27" s="9"/>
    </row>
    <row r="28" customFormat="false" ht="15" hidden="false" customHeight="false" outlineLevel="0" collapsed="false">
      <c r="B28" s="7" t="s">
        <v>343</v>
      </c>
      <c r="C28" s="8"/>
      <c r="D28" s="8"/>
      <c r="E28" s="8"/>
      <c r="F28" s="357" t="n">
        <v>0.75</v>
      </c>
      <c r="G28" s="8"/>
      <c r="H28" s="8" t="s">
        <v>344</v>
      </c>
      <c r="I28" s="8"/>
      <c r="J28" s="8"/>
      <c r="K28" s="8"/>
      <c r="L28" s="27" t="n">
        <f aca="false">F28*L27</f>
        <v>79767.534479721</v>
      </c>
      <c r="M28" s="9"/>
    </row>
    <row r="29" customFormat="false" ht="15" hidden="false" customHeight="false" outlineLevel="0" collapsed="false">
      <c r="B29" s="7" t="s">
        <v>345</v>
      </c>
      <c r="C29" s="8"/>
      <c r="D29" s="8"/>
      <c r="E29" s="8"/>
      <c r="F29" s="441" t="n">
        <f aca="false">1-F28</f>
        <v>0.25</v>
      </c>
      <c r="G29" s="8"/>
      <c r="H29" s="8" t="s">
        <v>346</v>
      </c>
      <c r="I29" s="8"/>
      <c r="J29" s="8"/>
      <c r="K29" s="8"/>
      <c r="L29" s="27" t="n">
        <f aca="false">F29*L27</f>
        <v>26589.178159907</v>
      </c>
      <c r="M29" s="9"/>
    </row>
    <row r="30" customFormat="false" ht="15" hidden="false" customHeight="false" outlineLevel="0" collapsed="false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</row>
    <row r="31" customFormat="false" ht="15" hidden="false" customHeight="false" outlineLevel="0" collapsed="false">
      <c r="B31" s="7" t="s">
        <v>347</v>
      </c>
      <c r="C31" s="8"/>
      <c r="D31" s="8"/>
      <c r="E31" s="8"/>
      <c r="F31" s="357" t="n">
        <v>0.08</v>
      </c>
      <c r="G31" s="8"/>
      <c r="H31" s="8" t="s">
        <v>348</v>
      </c>
      <c r="I31" s="8"/>
      <c r="J31" s="8"/>
      <c r="K31" s="8"/>
      <c r="L31" s="357" t="n">
        <v>0.1</v>
      </c>
      <c r="M31" s="9"/>
    </row>
    <row r="32" customFormat="false" ht="15" hidden="false" customHeight="false" outlineLevel="0" collapsed="false">
      <c r="B32" s="63" t="s">
        <v>349</v>
      </c>
      <c r="C32" s="45"/>
      <c r="D32" s="45"/>
      <c r="E32" s="45"/>
      <c r="F32" s="363" t="n">
        <v>0.11</v>
      </c>
      <c r="G32" s="45"/>
      <c r="H32" s="45" t="s">
        <v>350</v>
      </c>
      <c r="I32" s="45"/>
      <c r="J32" s="45"/>
      <c r="K32" s="45"/>
      <c r="L32" s="363" t="n">
        <v>0</v>
      </c>
      <c r="M32" s="364"/>
    </row>
    <row r="34" customFormat="false" ht="15" hidden="false" customHeight="false" outlineLevel="0" collapsed="false">
      <c r="B34" s="3" t="s">
        <v>351</v>
      </c>
      <c r="C34" s="4"/>
      <c r="D34" s="4"/>
      <c r="E34" s="4"/>
      <c r="F34" s="4"/>
      <c r="G34" s="4"/>
      <c r="H34" s="5"/>
      <c r="I34" s="5"/>
      <c r="J34" s="5"/>
      <c r="K34" s="5"/>
      <c r="L34" s="5"/>
      <c r="M34" s="6"/>
    </row>
    <row r="35" customFormat="false" ht="15" hidden="false" customHeight="false" outlineLevel="0" collapsed="false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  <row r="36" customFormat="false" ht="15" hidden="false" customHeight="false" outlineLevel="0" collapsed="false">
      <c r="B36" s="96" t="s">
        <v>352</v>
      </c>
      <c r="C36" s="96"/>
      <c r="D36" s="96"/>
      <c r="E36" s="96"/>
      <c r="F36" s="96"/>
      <c r="G36" s="8"/>
      <c r="H36" s="23" t="s">
        <v>353</v>
      </c>
      <c r="I36" s="23"/>
      <c r="J36" s="23"/>
      <c r="K36" s="23"/>
      <c r="L36" s="23"/>
      <c r="M36" s="9"/>
    </row>
    <row r="37" customFormat="false" ht="15" hidden="false" customHeight="false" outlineLevel="0" collapsed="false">
      <c r="B37" s="7" t="s">
        <v>344</v>
      </c>
      <c r="C37" s="8"/>
      <c r="D37" s="8"/>
      <c r="E37" s="8"/>
      <c r="F37" s="27" t="n">
        <f aca="false">L28</f>
        <v>79767.534479721</v>
      </c>
      <c r="G37" s="8"/>
      <c r="H37" s="8" t="s">
        <v>354</v>
      </c>
      <c r="I37" s="8"/>
      <c r="J37" s="8"/>
      <c r="K37" s="8"/>
      <c r="L37" s="27" t="n">
        <f aca="false">L7</f>
        <v>212713.425279256</v>
      </c>
      <c r="M37" s="9"/>
    </row>
    <row r="38" customFormat="false" ht="15" hidden="false" customHeight="false" outlineLevel="0" collapsed="false">
      <c r="B38" s="7" t="s">
        <v>346</v>
      </c>
      <c r="C38" s="8"/>
      <c r="D38" s="8"/>
      <c r="E38" s="8"/>
      <c r="F38" s="27" t="n">
        <f aca="false">L29</f>
        <v>26589.178159907</v>
      </c>
      <c r="G38" s="8"/>
      <c r="H38" s="8" t="s">
        <v>355</v>
      </c>
      <c r="I38" s="8"/>
      <c r="J38" s="8"/>
      <c r="K38" s="8"/>
      <c r="L38" s="27" t="n">
        <f aca="false">L14*L7</f>
        <v>42.5426850558512</v>
      </c>
      <c r="M38" s="9"/>
    </row>
    <row r="39" customFormat="false" ht="15" hidden="false" customHeight="false" outlineLevel="0" collapsed="false">
      <c r="B39" s="7" t="s">
        <v>356</v>
      </c>
      <c r="C39" s="8"/>
      <c r="D39" s="8"/>
      <c r="E39" s="8"/>
      <c r="F39" s="27" t="n">
        <f aca="false">L40-SUM(F37:F38)</f>
        <v>106463.069352268</v>
      </c>
      <c r="G39" s="8"/>
      <c r="H39" s="360" t="s">
        <v>357</v>
      </c>
      <c r="I39" s="8"/>
      <c r="J39" s="8"/>
      <c r="K39" s="8"/>
      <c r="L39" s="27" t="n">
        <f aca="false">L15*L10</f>
        <v>63.8140275837768</v>
      </c>
      <c r="M39" s="9"/>
    </row>
    <row r="40" customFormat="false" ht="15" hidden="false" customHeight="false" outlineLevel="0" collapsed="false">
      <c r="B40" s="447" t="s">
        <v>358</v>
      </c>
      <c r="C40" s="390"/>
      <c r="D40" s="390"/>
      <c r="E40" s="390"/>
      <c r="F40" s="435" t="n">
        <f aca="false">SUM(F37:F39)</f>
        <v>212819.781991896</v>
      </c>
      <c r="G40" s="45"/>
      <c r="H40" s="437" t="s">
        <v>359</v>
      </c>
      <c r="I40" s="390"/>
      <c r="J40" s="390"/>
      <c r="K40" s="390"/>
      <c r="L40" s="435" t="n">
        <f aca="false">SUM(L37:L39)</f>
        <v>212819.781991896</v>
      </c>
      <c r="M40" s="364"/>
    </row>
    <row r="42" customFormat="false" ht="15" hidden="false" customHeight="false" outlineLevel="0" collapsed="false">
      <c r="B42" s="3" t="s">
        <v>42</v>
      </c>
      <c r="C42" s="4"/>
      <c r="D42" s="4"/>
      <c r="E42" s="4"/>
      <c r="F42" s="4"/>
      <c r="G42" s="4"/>
      <c r="H42" s="5"/>
      <c r="I42" s="5"/>
      <c r="J42" s="5"/>
      <c r="K42" s="5"/>
      <c r="L42" s="5"/>
      <c r="M42" s="6"/>
    </row>
    <row r="43" customFormat="false" ht="15" hidden="false" customHeight="false" outlineLevel="0" collapsed="false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</row>
    <row r="44" customFormat="false" ht="15" hidden="false" customHeight="false" outlineLevel="0" collapsed="false">
      <c r="B44" s="7" t="s">
        <v>360</v>
      </c>
      <c r="C44" s="8"/>
      <c r="D44" s="8"/>
      <c r="E44" s="8"/>
      <c r="F44" s="102" t="n">
        <f aca="false">'AAPL-3-Statements'!H99</f>
        <v>6559</v>
      </c>
      <c r="G44" s="8"/>
      <c r="H44" s="8"/>
      <c r="I44" s="8"/>
      <c r="J44" s="8"/>
      <c r="K44" s="8"/>
      <c r="L44" s="8"/>
      <c r="M44" s="9"/>
    </row>
    <row r="45" customFormat="false" ht="15" hidden="false" customHeight="false" outlineLevel="0" collapsed="false">
      <c r="B45" s="7" t="s">
        <v>361</v>
      </c>
      <c r="C45" s="8"/>
      <c r="D45" s="8"/>
      <c r="E45" s="8"/>
      <c r="F45" s="30" t="n">
        <v>5000</v>
      </c>
      <c r="G45" s="8"/>
      <c r="H45" s="8"/>
      <c r="I45" s="8"/>
      <c r="J45" s="8"/>
      <c r="K45" s="8"/>
      <c r="L45" s="8"/>
      <c r="M45" s="9"/>
    </row>
    <row r="46" customFormat="false" ht="15" hidden="false" customHeight="false" outlineLevel="0" collapsed="false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9"/>
    </row>
    <row r="47" customFormat="false" ht="15" hidden="false" customHeight="false" outlineLevel="0" collapsed="false">
      <c r="B47" s="7"/>
      <c r="C47" s="8"/>
      <c r="D47" s="8"/>
      <c r="E47" s="8"/>
      <c r="F47" s="36" t="str">
        <f aca="false">'AAPL-3-Statements'!F22</f>
        <v>Historical</v>
      </c>
      <c r="G47" s="36"/>
      <c r="H47" s="36"/>
      <c r="I47" s="37" t="str">
        <f aca="false">'AAPL-3-Statements'!I22</f>
        <v>Projections</v>
      </c>
      <c r="J47" s="37"/>
      <c r="K47" s="37"/>
      <c r="L47" s="37"/>
      <c r="M47" s="37"/>
    </row>
    <row r="48" customFormat="false" ht="15" hidden="false" customHeight="false" outlineLevel="0" collapsed="false">
      <c r="B48" s="7"/>
      <c r="C48" s="8"/>
      <c r="D48" s="8"/>
      <c r="E48" s="8"/>
      <c r="F48" s="38" t="str">
        <f aca="false">'AAPL-3-Statements'!F24</f>
        <v>FY 2007</v>
      </c>
      <c r="G48" s="38" t="str">
        <f aca="false">'AAPL-3-Statements'!G24</f>
        <v>FY 2008</v>
      </c>
      <c r="H48" s="39" t="str">
        <f aca="false">'AAPL-3-Statements'!H24</f>
        <v>FY 2009</v>
      </c>
      <c r="I48" s="38" t="str">
        <f aca="false">'AAPL-3-Statements'!I24</f>
        <v>FY 2010E</v>
      </c>
      <c r="J48" s="38" t="str">
        <f aca="false">'AAPL-3-Statements'!J24</f>
        <v>FY 2011E</v>
      </c>
      <c r="K48" s="38" t="str">
        <f aca="false">'AAPL-3-Statements'!K24</f>
        <v>FY 2012E</v>
      </c>
      <c r="L48" s="38" t="str">
        <f aca="false">'AAPL-3-Statements'!L24</f>
        <v>FY 2013E</v>
      </c>
      <c r="M48" s="39" t="str">
        <f aca="false">'AAPL-3-Statements'!M24</f>
        <v>FY 2014E</v>
      </c>
    </row>
    <row r="49" customFormat="false" ht="15" hidden="false" customHeight="false" outlineLevel="0" collapsed="false">
      <c r="B49" s="7"/>
      <c r="C49" s="8"/>
      <c r="D49" s="8"/>
      <c r="E49" s="8"/>
      <c r="F49" s="8"/>
      <c r="G49" s="8"/>
      <c r="H49" s="9"/>
      <c r="I49" s="8"/>
      <c r="J49" s="8"/>
      <c r="K49" s="8"/>
      <c r="L49" s="8"/>
      <c r="M49" s="9"/>
    </row>
    <row r="50" customFormat="false" ht="15" hidden="false" customHeight="false" outlineLevel="0" collapsed="false">
      <c r="B50" s="7" t="s">
        <v>43</v>
      </c>
      <c r="C50" s="8"/>
      <c r="D50" s="8"/>
      <c r="E50" s="8"/>
      <c r="F50" s="448" t="n">
        <f aca="false">'AAPL-3-Statements'!F39</f>
        <v>0.272482526533782</v>
      </c>
      <c r="G50" s="448" t="n">
        <f aca="false">'AAPL-3-Statements'!G39</f>
        <v>0.52538855887379</v>
      </c>
      <c r="H50" s="449" t="n">
        <f aca="false">'AAPL-3-Statements'!H39</f>
        <v>0.144407991251234</v>
      </c>
      <c r="I50" s="450" t="n">
        <f aca="false">'AAPL-3-Statements'!I39</f>
        <v>0.25</v>
      </c>
      <c r="J50" s="448" t="n">
        <f aca="false">'AAPL-3-Statements'!J39</f>
        <v>0.17</v>
      </c>
      <c r="K50" s="448" t="n">
        <f aca="false">'AAPL-3-Statements'!K39</f>
        <v>0.11</v>
      </c>
      <c r="L50" s="448" t="n">
        <f aca="false">'AAPL-3-Statements'!L39</f>
        <v>0.09</v>
      </c>
      <c r="M50" s="449" t="n">
        <f aca="false">'AAPL-3-Statements'!M39</f>
        <v>0.07</v>
      </c>
    </row>
    <row r="51" customFormat="false" ht="15" hidden="false" customHeight="false" outlineLevel="0" collapsed="false">
      <c r="B51" s="7" t="s">
        <v>44</v>
      </c>
      <c r="C51" s="8"/>
      <c r="D51" s="8"/>
      <c r="E51" s="8"/>
      <c r="F51" s="448" t="n">
        <f aca="false">'AAPL-3-Statements'!F40</f>
        <v>0.662462364716413</v>
      </c>
      <c r="G51" s="448" t="n">
        <f aca="false">'AAPL-3-Statements'!G40</f>
        <v>0.641451726192064</v>
      </c>
      <c r="H51" s="449" t="n">
        <f aca="false">'AAPL-3-Statements'!H40</f>
        <v>0.590242007536029</v>
      </c>
      <c r="I51" s="450" t="n">
        <f aca="false">'AAPL-3-Statements'!I40</f>
        <v>0.590242007536029</v>
      </c>
      <c r="J51" s="448" t="n">
        <f aca="false">'AAPL-3-Statements'!J40</f>
        <v>0.590242007536029</v>
      </c>
      <c r="K51" s="448" t="n">
        <f aca="false">'AAPL-3-Statements'!K40</f>
        <v>0.590242007536029</v>
      </c>
      <c r="L51" s="448" t="n">
        <f aca="false">'AAPL-3-Statements'!L40</f>
        <v>0.590242007536029</v>
      </c>
      <c r="M51" s="449" t="n">
        <f aca="false">'AAPL-3-Statements'!M40</f>
        <v>0.590242007536029</v>
      </c>
    </row>
    <row r="52" customFormat="false" ht="15" hidden="false" customHeight="false" outlineLevel="0" collapsed="false">
      <c r="B52" s="7" t="s">
        <v>45</v>
      </c>
      <c r="C52" s="8"/>
      <c r="D52" s="8"/>
      <c r="E52" s="8"/>
      <c r="F52" s="448" t="n">
        <f aca="false">'AAPL-3-Statements'!F41</f>
        <v>0.0242493286679144</v>
      </c>
      <c r="G52" s="448" t="n">
        <f aca="false">'AAPL-3-Statements'!G41</f>
        <v>0.0202359677433695</v>
      </c>
      <c r="H52" s="449" t="n">
        <f aca="false">'AAPL-3-Statements'!H41</f>
        <v>0.0193528337800567</v>
      </c>
      <c r="I52" s="450" t="n">
        <f aca="false">'AAPL-3-Statements'!I41</f>
        <v>0.0193528337800567</v>
      </c>
      <c r="J52" s="448" t="n">
        <f aca="false">'AAPL-3-Statements'!J41</f>
        <v>0.0193528337800567</v>
      </c>
      <c r="K52" s="448" t="n">
        <f aca="false">'AAPL-3-Statements'!K41</f>
        <v>0.0193528337800567</v>
      </c>
      <c r="L52" s="448" t="n">
        <f aca="false">'AAPL-3-Statements'!L41</f>
        <v>0.0193528337800567</v>
      </c>
      <c r="M52" s="449" t="n">
        <f aca="false">'AAPL-3-Statements'!M41</f>
        <v>0.0193528337800567</v>
      </c>
    </row>
    <row r="53" customFormat="false" ht="15" hidden="false" customHeight="false" outlineLevel="0" collapsed="false">
      <c r="B53" s="7" t="s">
        <v>46</v>
      </c>
      <c r="C53" s="8"/>
      <c r="D53" s="8"/>
      <c r="E53" s="8"/>
      <c r="F53" s="448" t="n">
        <f aca="false">'AAPL-3-Statements'!F42</f>
        <v>0.110830824314428</v>
      </c>
      <c r="G53" s="448" t="n">
        <f aca="false">'AAPL-3-Statements'!G42</f>
        <v>0.089212522116419</v>
      </c>
      <c r="H53" s="449" t="n">
        <f aca="false">'AAPL-3-Statements'!H42</f>
        <v>0.083121625296197</v>
      </c>
      <c r="I53" s="450" t="n">
        <f aca="false">'AAPL-3-Statements'!I42</f>
        <v>0.083121625296197</v>
      </c>
      <c r="J53" s="448" t="n">
        <f aca="false">'AAPL-3-Statements'!J42</f>
        <v>0.083121625296197</v>
      </c>
      <c r="K53" s="448" t="n">
        <f aca="false">'AAPL-3-Statements'!K42</f>
        <v>0.083121625296197</v>
      </c>
      <c r="L53" s="448" t="n">
        <f aca="false">'AAPL-3-Statements'!L42</f>
        <v>0.083121625296197</v>
      </c>
      <c r="M53" s="449" t="n">
        <f aca="false">'AAPL-3-Statements'!M42</f>
        <v>0.083121625296197</v>
      </c>
    </row>
    <row r="54" customFormat="false" ht="15" hidden="false" customHeight="false" outlineLevel="0" collapsed="false">
      <c r="B54" s="7"/>
      <c r="C54" s="8"/>
      <c r="D54" s="8"/>
      <c r="E54" s="8"/>
      <c r="F54" s="48"/>
      <c r="G54" s="48"/>
      <c r="H54" s="49"/>
      <c r="I54" s="53"/>
      <c r="J54" s="48"/>
      <c r="K54" s="48"/>
      <c r="L54" s="48"/>
      <c r="M54" s="49"/>
    </row>
    <row r="55" customFormat="false" ht="15" hidden="false" customHeight="false" outlineLevel="0" collapsed="false">
      <c r="B55" s="7" t="s">
        <v>47</v>
      </c>
      <c r="C55" s="8"/>
      <c r="D55" s="8"/>
      <c r="E55" s="8"/>
      <c r="F55" s="448" t="n">
        <f aca="false">'AAPL-3-Statements'!F44</f>
        <v>0.00984620392220685</v>
      </c>
      <c r="G55" s="448" t="n">
        <f aca="false">'AAPL-3-Statements'!G44</f>
        <v>0.0137633031927663</v>
      </c>
      <c r="H55" s="449" t="n">
        <f aca="false">'AAPL-3-Statements'!H44</f>
        <v>0.0165481878568931</v>
      </c>
      <c r="I55" s="450" t="n">
        <f aca="false">'AAPL-3-Statements'!I44</f>
        <v>0.0165481878568931</v>
      </c>
      <c r="J55" s="448" t="n">
        <f aca="false">'AAPL-3-Statements'!J44</f>
        <v>0.0165481878568931</v>
      </c>
      <c r="K55" s="448" t="n">
        <f aca="false">'AAPL-3-Statements'!K44</f>
        <v>0.0165481878568931</v>
      </c>
      <c r="L55" s="448" t="n">
        <f aca="false">'AAPL-3-Statements'!L44</f>
        <v>0.0165481878568931</v>
      </c>
      <c r="M55" s="449" t="n">
        <f aca="false">'AAPL-3-Statements'!M44</f>
        <v>0.0165481878568931</v>
      </c>
    </row>
    <row r="56" customFormat="false" ht="15" hidden="false" customHeight="false" outlineLevel="0" collapsed="false">
      <c r="B56" s="7" t="s">
        <v>48</v>
      </c>
      <c r="C56" s="8"/>
      <c r="D56" s="8"/>
      <c r="E56" s="8"/>
      <c r="F56" s="448" t="n">
        <f aca="false">'AAPL-3-Statements'!F45</f>
        <v>0.0133045813328993</v>
      </c>
      <c r="G56" s="448" t="n">
        <f aca="false">'AAPL-3-Statements'!G45</f>
        <v>0.0132298418287056</v>
      </c>
      <c r="H56" s="449" t="n">
        <f aca="false">'AAPL-3-Statements'!H45</f>
        <v>0.0171075632210698</v>
      </c>
      <c r="I56" s="450" t="n">
        <f aca="false">'AAPL-3-Statements'!I45</f>
        <v>0.0171075632210698</v>
      </c>
      <c r="J56" s="448" t="n">
        <f aca="false">'AAPL-3-Statements'!J45</f>
        <v>0.0171075632210698</v>
      </c>
      <c r="K56" s="448" t="n">
        <f aca="false">'AAPL-3-Statements'!K45</f>
        <v>0.0171075632210698</v>
      </c>
      <c r="L56" s="448" t="n">
        <f aca="false">'AAPL-3-Statements'!L45</f>
        <v>0.0171075632210698</v>
      </c>
      <c r="M56" s="449" t="n">
        <f aca="false">'AAPL-3-Statements'!M45</f>
        <v>0.0171075632210698</v>
      </c>
    </row>
    <row r="57" customFormat="false" ht="15" hidden="false" customHeight="false" outlineLevel="0" collapsed="false">
      <c r="B57" s="7" t="s">
        <v>49</v>
      </c>
      <c r="C57" s="8"/>
      <c r="D57" s="8"/>
      <c r="E57" s="8"/>
      <c r="F57" s="448" t="n">
        <f aca="false">'AAPL-3-Statements'!F46</f>
        <v>0.0527</v>
      </c>
      <c r="G57" s="448" t="n">
        <f aca="false">'AAPL-3-Statements'!G46</f>
        <v>0.0344</v>
      </c>
      <c r="H57" s="449" t="n">
        <f aca="false">'AAPL-3-Statements'!H46</f>
        <v>0.0143</v>
      </c>
      <c r="I57" s="448" t="n">
        <f aca="false">'AAPL-3-Statements'!I46</f>
        <v>0.01</v>
      </c>
      <c r="J57" s="448" t="n">
        <f aca="false">'AAPL-3-Statements'!J46</f>
        <v>0.01</v>
      </c>
      <c r="K57" s="448" t="n">
        <f aca="false">'AAPL-3-Statements'!K46</f>
        <v>0.02</v>
      </c>
      <c r="L57" s="448" t="n">
        <f aca="false">'AAPL-3-Statements'!L46</f>
        <v>0.02</v>
      </c>
      <c r="M57" s="449" t="n">
        <f aca="false">'AAPL-3-Statements'!M46</f>
        <v>0.03</v>
      </c>
    </row>
    <row r="58" customFormat="false" ht="15" hidden="false" customHeight="false" outlineLevel="0" collapsed="false">
      <c r="B58" s="7" t="s">
        <v>51</v>
      </c>
      <c r="C58" s="8"/>
      <c r="D58" s="8"/>
      <c r="E58" s="8"/>
      <c r="F58" s="448" t="n">
        <f aca="false">'AAPL-3-Statements'!F48</f>
        <v>0.301837794646424</v>
      </c>
      <c r="G58" s="448" t="n">
        <f aca="false">'AAPL-3-Statements'!G48</f>
        <v>0.316083603442495</v>
      </c>
      <c r="H58" s="449" t="n">
        <f aca="false">'AAPL-3-Statements'!H48</f>
        <v>0.317503729487817</v>
      </c>
      <c r="I58" s="450" t="n">
        <f aca="false">'AAPL-3-Statements'!I48</f>
        <v>0.3</v>
      </c>
      <c r="J58" s="448" t="n">
        <f aca="false">'AAPL-3-Statements'!J48</f>
        <v>0.3</v>
      </c>
      <c r="K58" s="448" t="n">
        <f aca="false">'AAPL-3-Statements'!K48</f>
        <v>0.3</v>
      </c>
      <c r="L58" s="448" t="n">
        <f aca="false">'AAPL-3-Statements'!L48</f>
        <v>0.3</v>
      </c>
      <c r="M58" s="449" t="n">
        <f aca="false">'AAPL-3-Statements'!M48</f>
        <v>0.3</v>
      </c>
    </row>
    <row r="59" customFormat="false" ht="15" hidden="false" customHeight="false" outlineLevel="0" collapsed="false">
      <c r="B59" s="7"/>
      <c r="C59" s="8"/>
      <c r="D59" s="8"/>
      <c r="E59" s="8"/>
      <c r="F59" s="8"/>
      <c r="G59" s="8"/>
      <c r="H59" s="9"/>
      <c r="I59" s="7"/>
      <c r="J59" s="8"/>
      <c r="K59" s="8"/>
      <c r="L59" s="8"/>
      <c r="M59" s="9"/>
    </row>
    <row r="60" customFormat="false" ht="15" hidden="false" customHeight="false" outlineLevel="0" collapsed="false">
      <c r="B60" s="7" t="s">
        <v>55</v>
      </c>
      <c r="C60" s="8"/>
      <c r="D60" s="8"/>
      <c r="E60" s="8"/>
      <c r="F60" s="30"/>
      <c r="G60" s="30"/>
      <c r="H60" s="15"/>
      <c r="I60" s="102" t="n">
        <f aca="false">'AAPL-3-Statements'!I53</f>
        <v>40</v>
      </c>
      <c r="J60" s="102" t="n">
        <f aca="false">'AAPL-3-Statements'!J53</f>
        <v>37</v>
      </c>
      <c r="K60" s="102" t="n">
        <f aca="false">'AAPL-3-Statements'!K53</f>
        <v>28</v>
      </c>
      <c r="L60" s="102" t="n">
        <f aca="false">'AAPL-3-Statements'!L53</f>
        <v>13</v>
      </c>
      <c r="M60" s="356" t="n">
        <f aca="false">'AAPL-3-Statements'!M53</f>
        <v>10</v>
      </c>
    </row>
    <row r="61" customFormat="false" ht="15" hidden="false" customHeight="false" outlineLevel="0" collapsed="false">
      <c r="B61" s="7" t="s">
        <v>362</v>
      </c>
      <c r="C61" s="8"/>
      <c r="D61" s="8"/>
      <c r="E61" s="8"/>
      <c r="F61" s="55" t="n">
        <f aca="false">SUM('AAPL-3-Statements'!F150:F156)/'AAPL-3-Statements'!F66</f>
        <v>0.053747253641468</v>
      </c>
      <c r="G61" s="55" t="n">
        <f aca="false">SUM('AAPL-3-Statements'!G150:G156)/'AAPL-3-Statements'!G66</f>
        <v>0.0545464244752074</v>
      </c>
      <c r="H61" s="56" t="n">
        <f aca="false">SUM('AAPL-3-Statements'!H150:H156)/'AAPL-3-Statements'!H66</f>
        <v>0.0165481878568931</v>
      </c>
      <c r="I61" s="54" t="n">
        <f aca="false">SUM('AAPL-3-Statements'!I150:I156)/'AAPL-3-Statements'!I66</f>
        <v>0.0398228644680107</v>
      </c>
      <c r="J61" s="55" t="n">
        <f aca="false">SUM('AAPL-3-Statements'!J150:J156)/'AAPL-3-Statements'!J66</f>
        <v>0.0289311408528283</v>
      </c>
      <c r="K61" s="55" t="n">
        <f aca="false">SUM('AAPL-3-Statements'!K150:K156)/'AAPL-3-Statements'!K66</f>
        <v>0.0197320499616269</v>
      </c>
      <c r="L61" s="55" t="n">
        <f aca="false">SUM('AAPL-3-Statements'!L150:L156)/'AAPL-3-Statements'!L66</f>
        <v>0.016440632119821</v>
      </c>
      <c r="M61" s="56" t="n">
        <f aca="false">SUM('AAPL-3-Statements'!M150:M156)/'AAPL-3-Statements'!M66</f>
        <v>0.0130261706203773</v>
      </c>
    </row>
    <row r="62" customFormat="false" ht="15" hidden="false" customHeight="false" outlineLevel="0" collapsed="false">
      <c r="B62" s="63" t="s">
        <v>61</v>
      </c>
      <c r="C62" s="45"/>
      <c r="D62" s="45"/>
      <c r="E62" s="45"/>
      <c r="F62" s="451" t="n">
        <f aca="false">'AAPL-3-Statements'!F61</f>
        <v>0.0299047929042233</v>
      </c>
      <c r="G62" s="451" t="n">
        <f aca="false">'AAPL-3-Statements'!G61</f>
        <v>0.0291003174095116</v>
      </c>
      <c r="H62" s="452" t="n">
        <f aca="false">'AAPL-3-Statements'!H61</f>
        <v>0.0266635590257546</v>
      </c>
      <c r="I62" s="453" t="n">
        <f aca="false">'AAPL-3-Statements'!I61</f>
        <v>0.0266635590257546</v>
      </c>
      <c r="J62" s="451" t="n">
        <f aca="false">'AAPL-3-Statements'!J61</f>
        <v>0.0266635590257546</v>
      </c>
      <c r="K62" s="451" t="n">
        <f aca="false">'AAPL-3-Statements'!K61</f>
        <v>0.0266635590257546</v>
      </c>
      <c r="L62" s="451" t="n">
        <f aca="false">'AAPL-3-Statements'!L61</f>
        <v>0.0266635590257546</v>
      </c>
      <c r="M62" s="452" t="n">
        <f aca="false">'AAPL-3-Statements'!M61</f>
        <v>0.0266635590257546</v>
      </c>
    </row>
    <row r="64" customFormat="false" ht="15" hidden="false" customHeight="false" outlineLevel="0" collapsed="false">
      <c r="B64" s="3" t="s">
        <v>62</v>
      </c>
      <c r="C64" s="4"/>
      <c r="D64" s="4"/>
      <c r="E64" s="4"/>
      <c r="F64" s="4"/>
      <c r="G64" s="4"/>
      <c r="H64" s="5"/>
      <c r="I64" s="5"/>
      <c r="J64" s="5"/>
      <c r="K64" s="5"/>
      <c r="L64" s="5"/>
      <c r="M64" s="6"/>
    </row>
    <row r="65" customFormat="false" ht="15" hidden="false" customHeight="false" outlineLevel="0" collapsed="false">
      <c r="B65" s="7"/>
      <c r="C65" s="8"/>
      <c r="F65" s="38" t="str">
        <f aca="false">$F$48</f>
        <v>FY 2007</v>
      </c>
      <c r="G65" s="38" t="str">
        <f aca="false">$G$48</f>
        <v>FY 2008</v>
      </c>
      <c r="H65" s="39" t="str">
        <f aca="false">$H$48</f>
        <v>FY 2009</v>
      </c>
      <c r="I65" s="38" t="str">
        <f aca="false">$I$48</f>
        <v>FY 2010E</v>
      </c>
      <c r="J65" s="38" t="str">
        <f aca="false">$J$48</f>
        <v>FY 2011E</v>
      </c>
      <c r="K65" s="38" t="str">
        <f aca="false">$K$48</f>
        <v>FY 2012E</v>
      </c>
      <c r="L65" s="38" t="str">
        <f aca="false">$L$48</f>
        <v>FY 2013E</v>
      </c>
      <c r="M65" s="39" t="str">
        <f aca="false">$M$48</f>
        <v>FY 2014E</v>
      </c>
    </row>
    <row r="66" customFormat="false" ht="15" hidden="false" customHeight="false" outlineLevel="0" collapsed="false">
      <c r="B66" s="7"/>
      <c r="C66" s="8"/>
      <c r="H66" s="67"/>
      <c r="I66" s="8"/>
      <c r="M66" s="67"/>
    </row>
    <row r="67" customFormat="false" ht="15" hidden="false" customHeight="false" outlineLevel="0" collapsed="false">
      <c r="B67" s="10" t="s">
        <v>63</v>
      </c>
      <c r="F67" s="100" t="n">
        <f aca="false">'AAPL-3-Statements'!F66</f>
        <v>24578</v>
      </c>
      <c r="G67" s="100" t="n">
        <f aca="false">'AAPL-3-Statements'!G66</f>
        <v>37491</v>
      </c>
      <c r="H67" s="101" t="n">
        <f aca="false">'AAPL-3-Statements'!H66</f>
        <v>42905</v>
      </c>
      <c r="I67" s="70" t="n">
        <f aca="false">H67*(1+I50)</f>
        <v>53631.25</v>
      </c>
      <c r="J67" s="70" t="n">
        <f aca="false">I67*(1+J50)</f>
        <v>62748.5625</v>
      </c>
      <c r="K67" s="70" t="n">
        <f aca="false">J67*(1+K50)</f>
        <v>69650.904375</v>
      </c>
      <c r="L67" s="70" t="n">
        <f aca="false">K67*(1+L50)</f>
        <v>75919.48576875</v>
      </c>
      <c r="M67" s="71" t="n">
        <f aca="false">L67*(1+M50)</f>
        <v>81233.8497725625</v>
      </c>
      <c r="O67" s="72"/>
    </row>
    <row r="68" customFormat="false" ht="15" hidden="false" customHeight="false" outlineLevel="0" collapsed="false">
      <c r="B68" s="7" t="s">
        <v>64</v>
      </c>
      <c r="F68" s="102" t="n">
        <f aca="false">'AAPL-3-Statements'!F67</f>
        <v>16282</v>
      </c>
      <c r="G68" s="102" t="n">
        <f aca="false">'AAPL-3-Statements'!G67</f>
        <v>24048.6666666667</v>
      </c>
      <c r="H68" s="356" t="n">
        <f aca="false">'AAPL-3-Statements'!H67</f>
        <v>25324.3333333333</v>
      </c>
      <c r="I68" s="20" t="n">
        <f aca="false">I67*I51</f>
        <v>31655.4166666667</v>
      </c>
      <c r="J68" s="20" t="n">
        <f aca="false">J67*J51</f>
        <v>37036.8375</v>
      </c>
      <c r="K68" s="20" t="n">
        <f aca="false">K67*K51</f>
        <v>41110.889625</v>
      </c>
      <c r="L68" s="20" t="n">
        <f aca="false">L67*L51</f>
        <v>44810.86969125</v>
      </c>
      <c r="M68" s="73" t="n">
        <f aca="false">M67*M51</f>
        <v>47947.6305696375</v>
      </c>
    </row>
    <row r="69" customFormat="false" ht="15" hidden="false" customHeight="false" outlineLevel="0" collapsed="false">
      <c r="B69" s="74" t="s">
        <v>65</v>
      </c>
      <c r="F69" s="75" t="n">
        <f aca="false">F67-F68</f>
        <v>8296</v>
      </c>
      <c r="G69" s="75" t="n">
        <f aca="false">G67-G68</f>
        <v>13442.3333333333</v>
      </c>
      <c r="H69" s="76" t="n">
        <f aca="false">H67-H68</f>
        <v>17580.6666666667</v>
      </c>
      <c r="I69" s="77" t="n">
        <f aca="false">I67-I68</f>
        <v>21975.8333333333</v>
      </c>
      <c r="J69" s="75" t="n">
        <f aca="false">J67-J68</f>
        <v>25711.725</v>
      </c>
      <c r="K69" s="75" t="n">
        <f aca="false">K67-K68</f>
        <v>28540.01475</v>
      </c>
      <c r="L69" s="75" t="n">
        <f aca="false">L67-L68</f>
        <v>31108.6160775</v>
      </c>
      <c r="M69" s="76" t="n">
        <f aca="false">M67-M68</f>
        <v>33286.219202925</v>
      </c>
    </row>
    <row r="70" customFormat="false" ht="15" hidden="false" customHeight="false" outlineLevel="0" collapsed="false">
      <c r="B70" s="7" t="s">
        <v>66</v>
      </c>
      <c r="F70" s="8"/>
      <c r="G70" s="8"/>
      <c r="H70" s="9"/>
      <c r="I70" s="8"/>
      <c r="J70" s="8"/>
      <c r="K70" s="8"/>
      <c r="L70" s="8"/>
      <c r="M70" s="9"/>
    </row>
    <row r="71" customFormat="false" ht="15" hidden="false" customHeight="false" outlineLevel="0" collapsed="false">
      <c r="B71" s="26" t="s">
        <v>67</v>
      </c>
      <c r="F71" s="102" t="n">
        <f aca="false">'AAPL-3-Statements'!F70</f>
        <v>596</v>
      </c>
      <c r="G71" s="102" t="n">
        <f aca="false">'AAPL-3-Statements'!G70</f>
        <v>758.666666666667</v>
      </c>
      <c r="H71" s="356" t="n">
        <f aca="false">'AAPL-3-Statements'!H70</f>
        <v>830.333333333333</v>
      </c>
      <c r="I71" s="20" t="n">
        <f aca="false">I67*I52</f>
        <v>1037.91666666667</v>
      </c>
      <c r="J71" s="20" t="n">
        <f aca="false">J67*J52</f>
        <v>1214.3625</v>
      </c>
      <c r="K71" s="20" t="n">
        <f aca="false">K67*K52</f>
        <v>1347.942375</v>
      </c>
      <c r="L71" s="20" t="n">
        <f aca="false">L67*L52</f>
        <v>1469.25718875</v>
      </c>
      <c r="M71" s="73" t="n">
        <f aca="false">M67*M52</f>
        <v>1572.1051919625</v>
      </c>
    </row>
    <row r="72" customFormat="false" ht="15" hidden="false" customHeight="false" outlineLevel="0" collapsed="false">
      <c r="B72" s="26" t="s">
        <v>68</v>
      </c>
      <c r="F72" s="102" t="n">
        <f aca="false">'AAPL-3-Statements'!F71</f>
        <v>2724</v>
      </c>
      <c r="G72" s="102" t="n">
        <f aca="false">'AAPL-3-Statements'!G71</f>
        <v>3344.66666666667</v>
      </c>
      <c r="H72" s="356" t="n">
        <f aca="false">'AAPL-3-Statements'!H71</f>
        <v>3566.33333333333</v>
      </c>
      <c r="I72" s="20" t="n">
        <f aca="false">I67*I53</f>
        <v>4457.91666666667</v>
      </c>
      <c r="J72" s="20" t="n">
        <f aca="false">J67*J53</f>
        <v>5215.7625</v>
      </c>
      <c r="K72" s="20" t="n">
        <f aca="false">K67*K53</f>
        <v>5789.496375</v>
      </c>
      <c r="L72" s="20" t="n">
        <f aca="false">L67*L53</f>
        <v>6310.55104875</v>
      </c>
      <c r="M72" s="73" t="n">
        <f aca="false">M67*M53</f>
        <v>6752.2896221625</v>
      </c>
    </row>
    <row r="73" customFormat="false" ht="15" hidden="false" customHeight="false" outlineLevel="0" collapsed="false">
      <c r="B73" s="78" t="s">
        <v>69</v>
      </c>
      <c r="C73" s="34"/>
      <c r="D73" s="34"/>
      <c r="E73" s="34"/>
      <c r="F73" s="32" t="n">
        <f aca="false">SUM(F71:F72)</f>
        <v>3320</v>
      </c>
      <c r="G73" s="32" t="n">
        <f aca="false">SUM(G71:G72)</f>
        <v>4103.33333333333</v>
      </c>
      <c r="H73" s="79" t="n">
        <f aca="false">SUM(H71:H72)</f>
        <v>4396.66666666667</v>
      </c>
      <c r="I73" s="32" t="n">
        <f aca="false">SUM(I71:I72)</f>
        <v>5495.83333333333</v>
      </c>
      <c r="J73" s="32" t="n">
        <f aca="false">SUM(J71:J72)</f>
        <v>6430.125</v>
      </c>
      <c r="K73" s="32" t="n">
        <f aca="false">SUM(K71:K72)</f>
        <v>7137.43875</v>
      </c>
      <c r="L73" s="32" t="n">
        <f aca="false">SUM(L71:L72)</f>
        <v>7779.8082375</v>
      </c>
      <c r="M73" s="79" t="n">
        <f aca="false">SUM(M71:M72)</f>
        <v>8324.394814125</v>
      </c>
    </row>
    <row r="74" customFormat="false" ht="15" hidden="false" customHeight="false" outlineLevel="0" collapsed="false">
      <c r="B74" s="80"/>
      <c r="C74" s="8"/>
      <c r="D74" s="8"/>
      <c r="F74" s="81"/>
      <c r="G74" s="81"/>
      <c r="H74" s="82"/>
      <c r="I74" s="81"/>
      <c r="J74" s="81"/>
      <c r="K74" s="81"/>
      <c r="L74" s="81"/>
      <c r="M74" s="82"/>
    </row>
    <row r="75" customFormat="false" ht="15" hidden="false" customHeight="false" outlineLevel="0" collapsed="false">
      <c r="B75" s="26" t="s">
        <v>70</v>
      </c>
      <c r="C75" s="8"/>
      <c r="D75" s="8"/>
      <c r="F75" s="102" t="n">
        <f aca="false">'AAPL-3-Statements'!F74</f>
        <v>327</v>
      </c>
      <c r="G75" s="102" t="n">
        <f aca="false">'AAPL-3-Statements'!G74</f>
        <v>496</v>
      </c>
      <c r="H75" s="356" t="n">
        <f aca="false">'AAPL-3-Statements'!H74</f>
        <v>734</v>
      </c>
      <c r="I75" s="20" t="n">
        <f aca="false">I67*I56</f>
        <v>917.5</v>
      </c>
      <c r="J75" s="20" t="n">
        <f aca="false">J67*J56</f>
        <v>1073.475</v>
      </c>
      <c r="K75" s="20" t="n">
        <f aca="false">K67*K56</f>
        <v>1191.55725</v>
      </c>
      <c r="L75" s="20" t="n">
        <f aca="false">L67*L56</f>
        <v>1298.7974025</v>
      </c>
      <c r="M75" s="73" t="n">
        <f aca="false">M67*M56</f>
        <v>1389.713220675</v>
      </c>
    </row>
    <row r="76" customFormat="false" ht="15" hidden="false" customHeight="false" outlineLevel="0" collapsed="false">
      <c r="B76" s="26" t="s">
        <v>55</v>
      </c>
      <c r="C76" s="8"/>
      <c r="D76" s="8"/>
      <c r="F76" s="102" t="n">
        <f aca="false">'AAPL-3-Statements'!F75</f>
        <v>0</v>
      </c>
      <c r="G76" s="102" t="n">
        <f aca="false">'AAPL-3-Statements'!G75</f>
        <v>0</v>
      </c>
      <c r="H76" s="356" t="n">
        <f aca="false">'AAPL-3-Statements'!H75</f>
        <v>0</v>
      </c>
      <c r="I76" s="20" t="n">
        <f aca="false">I60</f>
        <v>40</v>
      </c>
      <c r="J76" s="20" t="n">
        <f aca="false">J60</f>
        <v>37</v>
      </c>
      <c r="K76" s="20" t="n">
        <f aca="false">K60</f>
        <v>28</v>
      </c>
      <c r="L76" s="20" t="n">
        <f aca="false">L60</f>
        <v>13</v>
      </c>
      <c r="M76" s="73" t="n">
        <f aca="false">M60</f>
        <v>10</v>
      </c>
    </row>
    <row r="77" customFormat="false" ht="15" hidden="false" customHeight="false" outlineLevel="0" collapsed="false">
      <c r="B77" s="26" t="s">
        <v>71</v>
      </c>
      <c r="C77" s="8"/>
      <c r="D77" s="8"/>
      <c r="F77" s="102" t="n">
        <f aca="false">'AAPL-3-Statements'!F76</f>
        <v>242</v>
      </c>
      <c r="G77" s="102" t="n">
        <f aca="false">'AAPL-3-Statements'!G76</f>
        <v>516</v>
      </c>
      <c r="H77" s="356" t="n">
        <f aca="false">'AAPL-3-Statements'!H76</f>
        <v>710</v>
      </c>
      <c r="I77" s="20" t="n">
        <f aca="false">I67*I55</f>
        <v>887.5</v>
      </c>
      <c r="J77" s="20" t="n">
        <f aca="false">J67*J55</f>
        <v>1038.375</v>
      </c>
      <c r="K77" s="20" t="n">
        <f aca="false">K67*K55</f>
        <v>1152.59625</v>
      </c>
      <c r="L77" s="20" t="n">
        <f aca="false">L67*L55</f>
        <v>1256.3299125</v>
      </c>
      <c r="M77" s="73" t="n">
        <f aca="false">M67*M55</f>
        <v>1344.273006375</v>
      </c>
    </row>
    <row r="78" customFormat="false" ht="15" hidden="false" customHeight="false" outlineLevel="0" collapsed="false">
      <c r="B78" s="80"/>
      <c r="C78" s="8"/>
      <c r="D78" s="8"/>
      <c r="F78" s="81"/>
      <c r="G78" s="81"/>
      <c r="H78" s="82"/>
      <c r="I78" s="81"/>
      <c r="J78" s="81"/>
      <c r="K78" s="81"/>
      <c r="L78" s="81"/>
      <c r="M78" s="82"/>
    </row>
    <row r="79" customFormat="false" ht="15" hidden="false" customHeight="false" outlineLevel="0" collapsed="false">
      <c r="B79" s="80" t="s">
        <v>72</v>
      </c>
      <c r="F79" s="75" t="n">
        <f aca="false">F69-F73-F75-F76-F77</f>
        <v>4407</v>
      </c>
      <c r="G79" s="75" t="n">
        <f aca="false">G69-G73-G75-G76-G77</f>
        <v>8327</v>
      </c>
      <c r="H79" s="76" t="n">
        <f aca="false">H69-H73-H75-H76-H77</f>
        <v>11740</v>
      </c>
      <c r="I79" s="77" t="n">
        <f aca="false">I69-I73-I75-I76-I77</f>
        <v>14635</v>
      </c>
      <c r="J79" s="75" t="n">
        <f aca="false">J69-J73-J75-J76-J77</f>
        <v>17132.75</v>
      </c>
      <c r="K79" s="75" t="n">
        <f aca="false">K69-K73-K75-K76-K77</f>
        <v>19030.4225</v>
      </c>
      <c r="L79" s="75" t="n">
        <f aca="false">L69-L73-L75-L76-L77</f>
        <v>20760.680525</v>
      </c>
      <c r="M79" s="76" t="n">
        <f aca="false">M69-M73-M75-M76-M77</f>
        <v>22217.83816175</v>
      </c>
    </row>
    <row r="80" customFormat="false" ht="15" hidden="false" customHeight="false" outlineLevel="0" collapsed="false">
      <c r="B80" s="26" t="s">
        <v>300</v>
      </c>
      <c r="F80" s="20" t="n">
        <f aca="false">SUM('AAPL-3-Statements'!F79:F81)</f>
        <v>599</v>
      </c>
      <c r="G80" s="20" t="n">
        <f aca="false">SUM('AAPL-3-Statements'!G79:G81)</f>
        <v>620</v>
      </c>
      <c r="H80" s="73" t="n">
        <f aca="false">SUM('AAPL-3-Statements'!H79:H81)</f>
        <v>326</v>
      </c>
      <c r="I80" s="83" t="n">
        <f aca="false">I128</f>
        <v>-8627.45612753853</v>
      </c>
      <c r="J80" s="83" t="n">
        <f aca="false">J128</f>
        <v>-7953.99938180001</v>
      </c>
      <c r="K80" s="83" t="n">
        <f aca="false">K128</f>
        <v>-6850.37276696544</v>
      </c>
      <c r="L80" s="83" t="n">
        <f aca="false">L128</f>
        <v>-5947.30174515481</v>
      </c>
      <c r="M80" s="84" t="n">
        <f aca="false">M128</f>
        <v>-4562.69609639778</v>
      </c>
    </row>
    <row r="81" customFormat="false" ht="15" hidden="false" customHeight="false" outlineLevel="0" collapsed="false">
      <c r="B81" s="78" t="s">
        <v>76</v>
      </c>
      <c r="C81" s="34"/>
      <c r="D81" s="34"/>
      <c r="E81" s="34"/>
      <c r="F81" s="32" t="n">
        <f aca="false">SUM(F79:F80)</f>
        <v>5006</v>
      </c>
      <c r="G81" s="32" t="n">
        <f aca="false">SUM(G79:G80)</f>
        <v>8947</v>
      </c>
      <c r="H81" s="79" t="n">
        <f aca="false">SUM(H79:H80)</f>
        <v>12066</v>
      </c>
      <c r="I81" s="32" t="n">
        <f aca="false">SUM(I79:I80)</f>
        <v>6007.54387246147</v>
      </c>
      <c r="J81" s="32" t="n">
        <f aca="false">SUM(J79:J80)</f>
        <v>9178.75061819999</v>
      </c>
      <c r="K81" s="32" t="n">
        <f aca="false">SUM(K79:K80)</f>
        <v>12180.0497330346</v>
      </c>
      <c r="L81" s="32" t="n">
        <f aca="false">SUM(L79:L80)</f>
        <v>14813.3787798452</v>
      </c>
      <c r="M81" s="79" t="n">
        <f aca="false">SUM(M79:M80)</f>
        <v>17655.1420653522</v>
      </c>
    </row>
    <row r="82" customFormat="false" ht="15" hidden="false" customHeight="false" outlineLevel="0" collapsed="false">
      <c r="B82" s="85" t="s">
        <v>77</v>
      </c>
      <c r="F82" s="102" t="n">
        <f aca="false">'AAPL-3-Statements'!F83</f>
        <v>1511</v>
      </c>
      <c r="G82" s="102" t="n">
        <f aca="false">'AAPL-3-Statements'!G83</f>
        <v>2828</v>
      </c>
      <c r="H82" s="356" t="n">
        <f aca="false">'AAPL-3-Statements'!H83</f>
        <v>3831</v>
      </c>
      <c r="I82" s="83" t="n">
        <f aca="false">I81*I58</f>
        <v>1802.26316173844</v>
      </c>
      <c r="J82" s="83" t="n">
        <f aca="false">J81*J58</f>
        <v>2753.62518546</v>
      </c>
      <c r="K82" s="83" t="n">
        <f aca="false">K81*K58</f>
        <v>3654.01491991037</v>
      </c>
      <c r="L82" s="83" t="n">
        <f aca="false">L81*L58</f>
        <v>4444.01363395356</v>
      </c>
      <c r="M82" s="84" t="n">
        <f aca="false">M81*M58</f>
        <v>5296.54261960567</v>
      </c>
    </row>
    <row r="83" customFormat="false" ht="15" hidden="false" customHeight="false" outlineLevel="0" collapsed="false">
      <c r="B83" s="26"/>
      <c r="F83" s="8"/>
      <c r="G83" s="8"/>
      <c r="H83" s="9"/>
      <c r="I83" s="8"/>
      <c r="J83" s="8"/>
      <c r="K83" s="8"/>
      <c r="L83" s="8"/>
      <c r="M83" s="9"/>
    </row>
    <row r="84" customFormat="false" ht="15" hidden="false" customHeight="false" outlineLevel="0" collapsed="false">
      <c r="B84" s="80" t="s">
        <v>78</v>
      </c>
      <c r="F84" s="75" t="n">
        <f aca="false">F81-F82</f>
        <v>3495</v>
      </c>
      <c r="G84" s="75" t="n">
        <f aca="false">G81-G82</f>
        <v>6119</v>
      </c>
      <c r="H84" s="76" t="n">
        <f aca="false">H81-H82</f>
        <v>8235</v>
      </c>
      <c r="I84" s="75" t="n">
        <f aca="false">I81-I82</f>
        <v>4205.28071072303</v>
      </c>
      <c r="J84" s="75" t="n">
        <f aca="false">J81-J82</f>
        <v>6425.12543274</v>
      </c>
      <c r="K84" s="75" t="n">
        <f aca="false">K81-K82</f>
        <v>8526.0348131242</v>
      </c>
      <c r="L84" s="75" t="n">
        <f aca="false">L81-L82</f>
        <v>10369.3651458916</v>
      </c>
      <c r="M84" s="76" t="n">
        <f aca="false">M81-M82</f>
        <v>12358.5994457466</v>
      </c>
    </row>
    <row r="85" customFormat="false" ht="15" hidden="false" customHeight="false" outlineLevel="0" collapsed="false">
      <c r="B85" s="91" t="s">
        <v>81</v>
      </c>
      <c r="C85" s="92"/>
      <c r="D85" s="92"/>
      <c r="E85" s="45"/>
      <c r="F85" s="133" t="n">
        <f aca="false">F79+F77+F76+F75</f>
        <v>4976</v>
      </c>
      <c r="G85" s="133" t="n">
        <f aca="false">G79+G77+G76+G75</f>
        <v>9339</v>
      </c>
      <c r="H85" s="134" t="n">
        <f aca="false">H79+H77+H76+H75</f>
        <v>13184</v>
      </c>
      <c r="I85" s="454" t="n">
        <f aca="false">I79+I77+I76+I75</f>
        <v>16480</v>
      </c>
      <c r="J85" s="133" t="n">
        <f aca="false">J79+J77+J76+J75</f>
        <v>19281.6</v>
      </c>
      <c r="K85" s="133" t="n">
        <f aca="false">K79+K77+K76+K75</f>
        <v>21402.576</v>
      </c>
      <c r="L85" s="133" t="n">
        <f aca="false">L79+L77+L76+L75</f>
        <v>23328.80784</v>
      </c>
      <c r="M85" s="134" t="n">
        <f aca="false">M79+M77+M76+M75</f>
        <v>24961.8243888</v>
      </c>
    </row>
    <row r="87" customFormat="false" ht="15" hidden="false" customHeight="false" outlineLevel="0" collapsed="false">
      <c r="B87" s="3" t="s">
        <v>120</v>
      </c>
      <c r="C87" s="4"/>
      <c r="D87" s="4"/>
      <c r="E87" s="5"/>
      <c r="F87" s="5"/>
      <c r="G87" s="5"/>
      <c r="H87" s="5"/>
      <c r="I87" s="5"/>
      <c r="J87" s="5"/>
      <c r="K87" s="5"/>
      <c r="L87" s="5"/>
      <c r="M87" s="6"/>
    </row>
    <row r="88" customFormat="false" ht="15" hidden="false" customHeight="false" outlineLevel="0" collapsed="false">
      <c r="B88" s="7"/>
      <c r="C88" s="8"/>
      <c r="F88" s="38" t="str">
        <f aca="false">$F$48</f>
        <v>FY 2007</v>
      </c>
      <c r="G88" s="38" t="str">
        <f aca="false">$G$48</f>
        <v>FY 2008</v>
      </c>
      <c r="H88" s="39" t="str">
        <f aca="false">$H$48</f>
        <v>FY 2009</v>
      </c>
      <c r="I88" s="38" t="str">
        <f aca="false">$I$48</f>
        <v>FY 2010E</v>
      </c>
      <c r="J88" s="38" t="str">
        <f aca="false">$J$48</f>
        <v>FY 2011E</v>
      </c>
      <c r="K88" s="38" t="str">
        <f aca="false">$K$48</f>
        <v>FY 2012E</v>
      </c>
      <c r="L88" s="38" t="str">
        <f aca="false">$L$48</f>
        <v>FY 2013E</v>
      </c>
      <c r="M88" s="39" t="str">
        <f aca="false">$M$48</f>
        <v>FY 2014E</v>
      </c>
    </row>
    <row r="89" customFormat="false" ht="15" hidden="false" customHeight="false" outlineLevel="0" collapsed="false">
      <c r="B89" s="96" t="s">
        <v>121</v>
      </c>
      <c r="C89" s="96"/>
      <c r="D89" s="96"/>
      <c r="E89" s="96"/>
      <c r="H89" s="67"/>
      <c r="M89" s="9"/>
    </row>
    <row r="90" customFormat="false" ht="15" hidden="false" customHeight="false" outlineLevel="0" collapsed="false">
      <c r="B90" s="10" t="s">
        <v>78</v>
      </c>
      <c r="F90" s="70"/>
      <c r="G90" s="70"/>
      <c r="H90" s="70"/>
      <c r="I90" s="123" t="n">
        <f aca="false">I84</f>
        <v>4205.28071072303</v>
      </c>
      <c r="J90" s="70" t="n">
        <f aca="false">J84</f>
        <v>6425.12543274</v>
      </c>
      <c r="K90" s="70" t="n">
        <f aca="false">K84</f>
        <v>8526.0348131242</v>
      </c>
      <c r="L90" s="70" t="n">
        <f aca="false">L84</f>
        <v>10369.3651458916</v>
      </c>
      <c r="M90" s="70" t="n">
        <f aca="false">M84</f>
        <v>12358.5994457466</v>
      </c>
      <c r="N90" s="7"/>
    </row>
    <row r="91" customFormat="false" ht="15" hidden="false" customHeight="false" outlineLevel="0" collapsed="false">
      <c r="B91" s="26" t="s">
        <v>70</v>
      </c>
      <c r="C91" s="8"/>
      <c r="D91" s="8"/>
      <c r="E91" s="102"/>
      <c r="F91" s="20"/>
      <c r="G91" s="20"/>
      <c r="H91" s="20"/>
      <c r="I91" s="124" t="n">
        <f aca="false">I75</f>
        <v>917.5</v>
      </c>
      <c r="J91" s="20" t="n">
        <f aca="false">J75</f>
        <v>1073.475</v>
      </c>
      <c r="K91" s="20" t="n">
        <f aca="false">K75</f>
        <v>1191.55725</v>
      </c>
      <c r="L91" s="20" t="n">
        <f aca="false">L75</f>
        <v>1298.7974025</v>
      </c>
      <c r="M91" s="20" t="n">
        <f aca="false">M75</f>
        <v>1389.713220675</v>
      </c>
      <c r="N91" s="7"/>
    </row>
    <row r="92" customFormat="false" ht="15" hidden="false" customHeight="false" outlineLevel="0" collapsed="false">
      <c r="B92" s="26" t="s">
        <v>55</v>
      </c>
      <c r="C92" s="8"/>
      <c r="D92" s="8"/>
      <c r="E92" s="102"/>
      <c r="F92" s="20"/>
      <c r="G92" s="20"/>
      <c r="H92" s="20"/>
      <c r="I92" s="124" t="n">
        <f aca="false">I76</f>
        <v>40</v>
      </c>
      <c r="J92" s="20" t="n">
        <f aca="false">J76</f>
        <v>37</v>
      </c>
      <c r="K92" s="20" t="n">
        <f aca="false">K76</f>
        <v>28</v>
      </c>
      <c r="L92" s="20" t="n">
        <f aca="false">L76</f>
        <v>13</v>
      </c>
      <c r="M92" s="20" t="n">
        <f aca="false">M76</f>
        <v>10</v>
      </c>
      <c r="N92" s="7"/>
    </row>
    <row r="93" customFormat="false" ht="15" hidden="false" customHeight="false" outlineLevel="0" collapsed="false">
      <c r="B93" s="26" t="s">
        <v>71</v>
      </c>
      <c r="C93" s="8"/>
      <c r="D93" s="8"/>
      <c r="E93" s="75"/>
      <c r="F93" s="20"/>
      <c r="G93" s="20"/>
      <c r="H93" s="20"/>
      <c r="I93" s="124" t="n">
        <f aca="false">I77</f>
        <v>887.5</v>
      </c>
      <c r="J93" s="20" t="n">
        <f aca="false">J77</f>
        <v>1038.375</v>
      </c>
      <c r="K93" s="20" t="n">
        <f aca="false">K77</f>
        <v>1152.59625</v>
      </c>
      <c r="L93" s="20" t="n">
        <f aca="false">L77</f>
        <v>1256.3299125</v>
      </c>
      <c r="M93" s="20" t="n">
        <f aca="false">M77</f>
        <v>1344.273006375</v>
      </c>
      <c r="N93" s="7"/>
    </row>
    <row r="94" customFormat="false" ht="15" hidden="false" customHeight="false" outlineLevel="0" collapsed="false">
      <c r="B94" s="26" t="s">
        <v>363</v>
      </c>
      <c r="C94" s="8"/>
      <c r="D94" s="8"/>
      <c r="E94" s="75"/>
      <c r="F94" s="20"/>
      <c r="G94" s="20"/>
      <c r="H94" s="73"/>
      <c r="I94" s="20" t="n">
        <f aca="false">I67*I61</f>
        <v>2135.75</v>
      </c>
      <c r="J94" s="20" t="n">
        <f aca="false">J67*J61</f>
        <v>1815.3875</v>
      </c>
      <c r="K94" s="20" t="n">
        <f aca="false">K67*K61</f>
        <v>1374.355125</v>
      </c>
      <c r="L94" s="20" t="n">
        <f aca="false">L67*L61</f>
        <v>1248.16433625</v>
      </c>
      <c r="M94" s="73" t="n">
        <f aca="false">M67*M61</f>
        <v>1058.1659872875</v>
      </c>
      <c r="N94" s="8"/>
    </row>
    <row r="95" customFormat="false" ht="15" hidden="false" customHeight="false" outlineLevel="0" collapsed="false">
      <c r="B95" s="78" t="s">
        <v>126</v>
      </c>
      <c r="C95" s="34"/>
      <c r="D95" s="34"/>
      <c r="E95" s="34"/>
      <c r="F95" s="32"/>
      <c r="G95" s="32"/>
      <c r="H95" s="79"/>
      <c r="I95" s="32" t="n">
        <f aca="false">SUM(I90:I94)</f>
        <v>8186.03071072303</v>
      </c>
      <c r="J95" s="32" t="n">
        <f aca="false">SUM(J90:J94)</f>
        <v>10389.36293274</v>
      </c>
      <c r="K95" s="32" t="n">
        <f aca="false">SUM(K90:K94)</f>
        <v>12272.5434381242</v>
      </c>
      <c r="L95" s="32" t="n">
        <f aca="false">SUM(L90:L94)</f>
        <v>14185.6567971416</v>
      </c>
      <c r="M95" s="79" t="n">
        <f aca="false">SUM(M90:M94)</f>
        <v>16160.7516600841</v>
      </c>
    </row>
    <row r="96" customFormat="false" ht="15" hidden="false" customHeight="false" outlineLevel="0" collapsed="false">
      <c r="B96" s="85"/>
      <c r="C96" s="8"/>
      <c r="D96" s="8"/>
      <c r="E96" s="102"/>
      <c r="F96" s="30"/>
      <c r="G96" s="30"/>
      <c r="H96" s="15"/>
      <c r="I96" s="125"/>
      <c r="J96" s="29"/>
      <c r="K96" s="29"/>
      <c r="L96" s="29"/>
      <c r="M96" s="126"/>
    </row>
    <row r="97" customFormat="false" ht="15" hidden="false" customHeight="false" outlineLevel="0" collapsed="false">
      <c r="B97" s="26" t="s">
        <v>131</v>
      </c>
      <c r="C97" s="8"/>
      <c r="D97" s="8"/>
      <c r="E97" s="8"/>
      <c r="H97" s="9"/>
      <c r="I97" s="128" t="n">
        <f aca="false">-I67*I62</f>
        <v>-1430</v>
      </c>
      <c r="J97" s="27" t="n">
        <f aca="false">-J67*J62</f>
        <v>-1673.1</v>
      </c>
      <c r="K97" s="27" t="n">
        <f aca="false">-K67*K62</f>
        <v>-1857.141</v>
      </c>
      <c r="L97" s="27" t="n">
        <f aca="false">-L67*L62</f>
        <v>-2024.28369</v>
      </c>
      <c r="M97" s="126" t="n">
        <f aca="false">-M67*M62</f>
        <v>-2165.9835483</v>
      </c>
    </row>
    <row r="98" customFormat="false" ht="15" hidden="false" customHeight="false" outlineLevel="0" collapsed="false">
      <c r="B98" s="26"/>
      <c r="C98" s="8"/>
      <c r="D98" s="8"/>
      <c r="E98" s="8"/>
      <c r="H98" s="9"/>
      <c r="I98" s="29"/>
      <c r="M98" s="9"/>
    </row>
    <row r="99" customFormat="false" ht="15" hidden="false" customHeight="false" outlineLevel="0" collapsed="false">
      <c r="B99" s="80" t="s">
        <v>364</v>
      </c>
      <c r="C99" s="8"/>
      <c r="D99" s="8"/>
      <c r="E99" s="8"/>
      <c r="H99" s="9"/>
      <c r="I99" s="123" t="n">
        <f aca="false">I95+I97</f>
        <v>6756.03071072303</v>
      </c>
      <c r="J99" s="70" t="n">
        <f aca="false">J95+J97</f>
        <v>8716.26293273999</v>
      </c>
      <c r="K99" s="70" t="n">
        <f aca="false">K95+K97</f>
        <v>10415.4024381242</v>
      </c>
      <c r="L99" s="70" t="n">
        <f aca="false">L95+L97</f>
        <v>12161.3731071416</v>
      </c>
      <c r="M99" s="71" t="n">
        <f aca="false">M95+M97</f>
        <v>13994.7681117841</v>
      </c>
    </row>
    <row r="100" customFormat="false" ht="15" hidden="false" customHeight="false" outlineLevel="0" collapsed="false">
      <c r="B100" s="26"/>
      <c r="C100" s="8"/>
      <c r="D100" s="8"/>
      <c r="E100" s="8"/>
      <c r="H100" s="9"/>
      <c r="I100" s="29"/>
      <c r="M100" s="9"/>
    </row>
    <row r="101" customFormat="false" ht="15" hidden="false" customHeight="false" outlineLevel="0" collapsed="false">
      <c r="B101" s="26" t="s">
        <v>365</v>
      </c>
      <c r="C101" s="8"/>
      <c r="D101" s="8"/>
      <c r="E101" s="8"/>
      <c r="H101" s="9"/>
      <c r="I101" s="29" t="n">
        <f aca="false">F44</f>
        <v>6559</v>
      </c>
      <c r="J101" s="29" t="n">
        <f aca="false">I110</f>
        <v>5000</v>
      </c>
      <c r="K101" s="29" t="n">
        <f aca="false">J110</f>
        <v>5000</v>
      </c>
      <c r="L101" s="29" t="n">
        <f aca="false">K110</f>
        <v>5000</v>
      </c>
      <c r="M101" s="126" t="n">
        <f aca="false">L110</f>
        <v>5000</v>
      </c>
    </row>
    <row r="102" customFormat="false" ht="15" hidden="false" customHeight="false" outlineLevel="0" collapsed="false">
      <c r="B102" s="26" t="s">
        <v>366</v>
      </c>
      <c r="C102" s="8"/>
      <c r="D102" s="8"/>
      <c r="E102" s="8"/>
      <c r="H102" s="9"/>
      <c r="I102" s="29" t="n">
        <f aca="false">I99</f>
        <v>6756.03071072303</v>
      </c>
      <c r="J102" s="29" t="n">
        <f aca="false">J99</f>
        <v>8716.26293273999</v>
      </c>
      <c r="K102" s="29" t="n">
        <f aca="false">K99</f>
        <v>10415.4024381242</v>
      </c>
      <c r="L102" s="29" t="n">
        <f aca="false">L99</f>
        <v>12161.3731071416</v>
      </c>
      <c r="M102" s="126" t="n">
        <f aca="false">M99</f>
        <v>13994.7681117841</v>
      </c>
    </row>
    <row r="103" customFormat="false" ht="15" hidden="false" customHeight="false" outlineLevel="0" collapsed="false">
      <c r="B103" s="26" t="s">
        <v>367</v>
      </c>
      <c r="C103" s="8"/>
      <c r="D103" s="8"/>
      <c r="E103" s="8"/>
      <c r="H103" s="9"/>
      <c r="I103" s="29" t="n">
        <f aca="false">-$F$45</f>
        <v>-5000</v>
      </c>
      <c r="J103" s="29" t="n">
        <f aca="false">-$F$45</f>
        <v>-5000</v>
      </c>
      <c r="K103" s="29" t="n">
        <f aca="false">-$F$45</f>
        <v>-5000</v>
      </c>
      <c r="L103" s="29" t="n">
        <f aca="false">-$F$45</f>
        <v>-5000</v>
      </c>
      <c r="M103" s="126" t="n">
        <f aca="false">-$F$45</f>
        <v>-5000</v>
      </c>
    </row>
    <row r="104" customFormat="false" ht="15" hidden="false" customHeight="false" outlineLevel="0" collapsed="false">
      <c r="B104" s="26"/>
      <c r="C104" s="8"/>
      <c r="D104" s="8"/>
      <c r="E104" s="8"/>
      <c r="H104" s="9"/>
      <c r="I104" s="29"/>
      <c r="J104" s="29"/>
      <c r="K104" s="29"/>
      <c r="L104" s="29"/>
      <c r="M104" s="126"/>
    </row>
    <row r="105" customFormat="false" ht="15" hidden="false" customHeight="false" outlineLevel="0" collapsed="false">
      <c r="B105" s="85" t="s">
        <v>368</v>
      </c>
      <c r="C105" s="8"/>
      <c r="D105" s="8"/>
      <c r="E105" s="8"/>
      <c r="H105" s="9"/>
      <c r="I105" s="29" t="n">
        <f aca="false">I101+I102+I103</f>
        <v>8315.03071072303</v>
      </c>
      <c r="J105" s="29" t="n">
        <f aca="false">J101+J102+J103</f>
        <v>8716.26293274</v>
      </c>
      <c r="K105" s="29" t="n">
        <f aca="false">K101+K102+K103</f>
        <v>10415.4024381242</v>
      </c>
      <c r="L105" s="29" t="n">
        <f aca="false">L101+L102+L103</f>
        <v>12161.3731071416</v>
      </c>
      <c r="M105" s="126" t="n">
        <f aca="false">M101+M102+M103</f>
        <v>13994.7681117841</v>
      </c>
    </row>
    <row r="106" customFormat="false" ht="15" hidden="false" customHeight="false" outlineLevel="0" collapsed="false">
      <c r="B106" s="85" t="s">
        <v>369</v>
      </c>
      <c r="C106" s="8"/>
      <c r="D106" s="8"/>
      <c r="E106" s="8"/>
      <c r="H106" s="9"/>
      <c r="I106" s="29" t="n">
        <f aca="false">I116+I117+I121+I122</f>
        <v>-8315.03071072303</v>
      </c>
      <c r="J106" s="29" t="n">
        <f aca="false">J116+J117+J121+J122</f>
        <v>-8716.26293274</v>
      </c>
      <c r="K106" s="29" t="n">
        <f aca="false">K116+K117+K121+K122</f>
        <v>-10415.4024381242</v>
      </c>
      <c r="L106" s="29" t="n">
        <f aca="false">L116+L117+L121+L122</f>
        <v>-12161.3731071416</v>
      </c>
      <c r="M106" s="126" t="n">
        <f aca="false">M116+M117+M121+M122</f>
        <v>-13994.7681117841</v>
      </c>
    </row>
    <row r="107" customFormat="false" ht="15" hidden="false" customHeight="false" outlineLevel="0" collapsed="false">
      <c r="B107" s="26"/>
      <c r="C107" s="8"/>
      <c r="D107" s="8"/>
      <c r="E107" s="8"/>
      <c r="H107" s="9"/>
      <c r="I107" s="29"/>
      <c r="J107" s="29"/>
      <c r="K107" s="29"/>
      <c r="L107" s="29"/>
      <c r="M107" s="126"/>
    </row>
    <row r="108" customFormat="false" ht="15" hidden="false" customHeight="false" outlineLevel="0" collapsed="false">
      <c r="B108" s="26" t="s">
        <v>365</v>
      </c>
      <c r="C108" s="8"/>
      <c r="D108" s="8"/>
      <c r="E108" s="8"/>
      <c r="H108" s="9"/>
      <c r="I108" s="29" t="n">
        <f aca="false">I101</f>
        <v>6559</v>
      </c>
      <c r="J108" s="29" t="n">
        <f aca="false">J101</f>
        <v>5000</v>
      </c>
      <c r="K108" s="29" t="n">
        <f aca="false">K101</f>
        <v>5000</v>
      </c>
      <c r="L108" s="29" t="n">
        <f aca="false">L101</f>
        <v>5000</v>
      </c>
      <c r="M108" s="126" t="n">
        <f aca="false">M101</f>
        <v>5000</v>
      </c>
    </row>
    <row r="109" customFormat="false" ht="15" hidden="false" customHeight="false" outlineLevel="0" collapsed="false">
      <c r="B109" s="26" t="s">
        <v>370</v>
      </c>
      <c r="C109" s="8"/>
      <c r="D109" s="8"/>
      <c r="E109" s="8"/>
      <c r="H109" s="9"/>
      <c r="I109" s="29" t="n">
        <f aca="false">I106+I102</f>
        <v>-1559</v>
      </c>
      <c r="J109" s="29" t="n">
        <f aca="false">J106+J102</f>
        <v>0</v>
      </c>
      <c r="K109" s="29" t="n">
        <f aca="false">K106+K102</f>
        <v>0</v>
      </c>
      <c r="L109" s="29" t="n">
        <f aca="false">L106+L102</f>
        <v>0</v>
      </c>
      <c r="M109" s="126" t="n">
        <f aca="false">M106+M102</f>
        <v>0</v>
      </c>
    </row>
    <row r="110" customFormat="false" ht="15" hidden="false" customHeight="false" outlineLevel="0" collapsed="false">
      <c r="B110" s="455" t="s">
        <v>371</v>
      </c>
      <c r="C110" s="390"/>
      <c r="D110" s="390"/>
      <c r="E110" s="390"/>
      <c r="F110" s="390"/>
      <c r="G110" s="390"/>
      <c r="H110" s="456"/>
      <c r="I110" s="435" t="n">
        <f aca="false">SUM(I108:I109)</f>
        <v>5000</v>
      </c>
      <c r="J110" s="435" t="n">
        <f aca="false">SUM(J108:J109)</f>
        <v>5000</v>
      </c>
      <c r="K110" s="435" t="n">
        <f aca="false">SUM(K108:K109)</f>
        <v>5000</v>
      </c>
      <c r="L110" s="435" t="n">
        <f aca="false">SUM(L108:L109)</f>
        <v>5000</v>
      </c>
      <c r="M110" s="457" t="n">
        <f aca="false">SUM(M108:M109)</f>
        <v>5000</v>
      </c>
    </row>
    <row r="112" customFormat="false" ht="15" hidden="false" customHeight="false" outlineLevel="0" collapsed="false">
      <c r="B112" s="3" t="s">
        <v>372</v>
      </c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6"/>
    </row>
    <row r="113" customFormat="false" ht="15" hidden="false" customHeight="false" outlineLevel="0" collapsed="false">
      <c r="B113" s="7"/>
      <c r="C113" s="8"/>
      <c r="D113" s="8"/>
      <c r="E113" s="8"/>
      <c r="F113" s="38" t="str">
        <f aca="false">$F$48</f>
        <v>FY 2007</v>
      </c>
      <c r="G113" s="38" t="str">
        <f aca="false">$G$48</f>
        <v>FY 2008</v>
      </c>
      <c r="H113" s="39" t="str">
        <f aca="false">$H$48</f>
        <v>FY 2009</v>
      </c>
      <c r="I113" s="38" t="str">
        <f aca="false">$I$48</f>
        <v>FY 2010E</v>
      </c>
      <c r="J113" s="38" t="str">
        <f aca="false">$J$48</f>
        <v>FY 2011E</v>
      </c>
      <c r="K113" s="38" t="str">
        <f aca="false">$K$48</f>
        <v>FY 2012E</v>
      </c>
      <c r="L113" s="38" t="str">
        <f aca="false">$L$48</f>
        <v>FY 2013E</v>
      </c>
      <c r="M113" s="39" t="str">
        <f aca="false">$M$48</f>
        <v>FY 2014E</v>
      </c>
    </row>
    <row r="114" customFormat="false" ht="15" hidden="false" customHeight="false" outlineLevel="0" collapsed="false">
      <c r="B114" s="7"/>
      <c r="C114" s="8"/>
      <c r="D114" s="8"/>
      <c r="E114" s="8"/>
      <c r="F114" s="40"/>
      <c r="G114" s="40"/>
      <c r="H114" s="458"/>
      <c r="I114" s="40"/>
      <c r="J114" s="40"/>
      <c r="K114" s="40"/>
      <c r="L114" s="40"/>
      <c r="M114" s="41"/>
    </row>
    <row r="115" customFormat="false" ht="15" hidden="false" customHeight="false" outlineLevel="0" collapsed="false">
      <c r="B115" s="7" t="s">
        <v>373</v>
      </c>
      <c r="C115" s="8"/>
      <c r="D115" s="8"/>
      <c r="E115" s="8"/>
      <c r="F115" s="8"/>
      <c r="G115" s="8"/>
      <c r="H115" s="459"/>
      <c r="I115" s="27" t="n">
        <f aca="false">L28</f>
        <v>79767.534479721</v>
      </c>
      <c r="J115" s="27" t="n">
        <f aca="false">I118</f>
        <v>71452.503768998</v>
      </c>
      <c r="K115" s="27" t="n">
        <f aca="false">J118</f>
        <v>62736.240836258</v>
      </c>
      <c r="L115" s="27" t="n">
        <f aca="false">K118</f>
        <v>52320.8383981338</v>
      </c>
      <c r="M115" s="126" t="n">
        <f aca="false">L118</f>
        <v>40159.4652909921</v>
      </c>
    </row>
    <row r="116" customFormat="false" ht="15" hidden="false" customHeight="false" outlineLevel="0" collapsed="false">
      <c r="B116" s="26" t="s">
        <v>374</v>
      </c>
      <c r="C116" s="8"/>
      <c r="D116" s="8"/>
      <c r="E116" s="8"/>
      <c r="F116" s="8"/>
      <c r="G116" s="8"/>
      <c r="H116" s="459"/>
      <c r="I116" s="27" t="n">
        <f aca="false">-MIN($L$31*$L$28,I115)</f>
        <v>-7976.7534479721</v>
      </c>
      <c r="J116" s="27" t="n">
        <f aca="false">-MIN($L$31*$L$28,J115)</f>
        <v>-7976.7534479721</v>
      </c>
      <c r="K116" s="27" t="n">
        <f aca="false">-MIN($L$31*$L$28,K115)</f>
        <v>-7976.7534479721</v>
      </c>
      <c r="L116" s="27" t="n">
        <f aca="false">-MIN($L$31*$L$28,L115)</f>
        <v>-7976.7534479721</v>
      </c>
      <c r="M116" s="126" t="n">
        <f aca="false">-MIN($L$31*$L$28,M115)</f>
        <v>-7976.7534479721</v>
      </c>
    </row>
    <row r="117" customFormat="false" ht="15" hidden="false" customHeight="false" outlineLevel="0" collapsed="false">
      <c r="B117" s="26" t="s">
        <v>375</v>
      </c>
      <c r="C117" s="8"/>
      <c r="D117" s="8"/>
      <c r="E117" s="8"/>
      <c r="F117" s="8"/>
      <c r="G117" s="8"/>
      <c r="H117" s="459"/>
      <c r="I117" s="27" t="n">
        <f aca="false">-MIN(I105+I116,I115+I116)</f>
        <v>-338.277262750929</v>
      </c>
      <c r="J117" s="27" t="n">
        <f aca="false">-MIN(J105+J116,J115+J116)</f>
        <v>-739.509484767896</v>
      </c>
      <c r="K117" s="27" t="n">
        <f aca="false">-MIN(K105+K116,K115+K116)</f>
        <v>-2438.6489901521</v>
      </c>
      <c r="L117" s="27" t="n">
        <f aca="false">-MIN(L105+L116,L115+L116)</f>
        <v>-4184.61965916954</v>
      </c>
      <c r="M117" s="126" t="n">
        <f aca="false">-MIN(M105+M116,M115+M116)</f>
        <v>-6018.01466381196</v>
      </c>
    </row>
    <row r="118" customFormat="false" ht="15" hidden="false" customHeight="false" outlineLevel="0" collapsed="false">
      <c r="B118" s="104" t="s">
        <v>376</v>
      </c>
      <c r="C118" s="34"/>
      <c r="D118" s="34"/>
      <c r="E118" s="34"/>
      <c r="F118" s="34"/>
      <c r="G118" s="34"/>
      <c r="H118" s="460"/>
      <c r="I118" s="129" t="n">
        <f aca="false">SUM(I115:I117)</f>
        <v>71452.503768998</v>
      </c>
      <c r="J118" s="32" t="n">
        <f aca="false">SUM(J115:J117)</f>
        <v>62736.240836258</v>
      </c>
      <c r="K118" s="32" t="n">
        <f aca="false">SUM(K115:K117)</f>
        <v>52320.8383981338</v>
      </c>
      <c r="L118" s="32" t="n">
        <f aca="false">SUM(L115:L117)</f>
        <v>40159.4652909921</v>
      </c>
      <c r="M118" s="79" t="n">
        <f aca="false">SUM(M115:M117)</f>
        <v>26164.6971792081</v>
      </c>
    </row>
    <row r="119" customFormat="false" ht="15" hidden="false" customHeight="false" outlineLevel="0" collapsed="false">
      <c r="B119" s="7"/>
      <c r="C119" s="8"/>
      <c r="D119" s="8"/>
      <c r="E119" s="8"/>
      <c r="F119" s="8"/>
      <c r="G119" s="8"/>
      <c r="H119" s="459"/>
      <c r="I119" s="8"/>
      <c r="J119" s="8"/>
      <c r="K119" s="8"/>
      <c r="L119" s="8"/>
      <c r="M119" s="9"/>
    </row>
    <row r="120" customFormat="false" ht="15" hidden="false" customHeight="false" outlineLevel="0" collapsed="false">
      <c r="B120" s="7" t="s">
        <v>377</v>
      </c>
      <c r="C120" s="8"/>
      <c r="D120" s="8"/>
      <c r="E120" s="8"/>
      <c r="F120" s="8"/>
      <c r="G120" s="8"/>
      <c r="H120" s="459"/>
      <c r="I120" s="27" t="n">
        <f aca="false">L29</f>
        <v>26589.178159907</v>
      </c>
      <c r="J120" s="27" t="n">
        <f aca="false">I123</f>
        <v>26589.178159907</v>
      </c>
      <c r="K120" s="27" t="n">
        <f aca="false">J123</f>
        <v>26589.178159907</v>
      </c>
      <c r="L120" s="27" t="n">
        <f aca="false">K123</f>
        <v>26589.178159907</v>
      </c>
      <c r="M120" s="126" t="n">
        <f aca="false">L123</f>
        <v>26589.178159907</v>
      </c>
    </row>
    <row r="121" customFormat="false" ht="15" hidden="false" customHeight="false" outlineLevel="0" collapsed="false">
      <c r="B121" s="26" t="s">
        <v>374</v>
      </c>
      <c r="C121" s="8"/>
      <c r="D121" s="8"/>
      <c r="E121" s="8"/>
      <c r="F121" s="8"/>
      <c r="G121" s="8"/>
      <c r="H121" s="459"/>
      <c r="I121" s="27" t="n">
        <f aca="false">-MIN($L$29*$L$32,I120)</f>
        <v>-0</v>
      </c>
      <c r="J121" s="27" t="n">
        <f aca="false">-MIN($L$29*$L$32,J120)</f>
        <v>-0</v>
      </c>
      <c r="K121" s="27" t="n">
        <f aca="false">-MIN($L$29*$L$32,K120)</f>
        <v>-0</v>
      </c>
      <c r="L121" s="27" t="n">
        <f aca="false">-MIN($L$29*$L$32,L120)</f>
        <v>-0</v>
      </c>
      <c r="M121" s="126" t="n">
        <f aca="false">-MIN($L$29*$L$32,M120)</f>
        <v>-0</v>
      </c>
    </row>
    <row r="122" customFormat="false" ht="15" hidden="false" customHeight="false" outlineLevel="0" collapsed="false">
      <c r="B122" s="26" t="s">
        <v>375</v>
      </c>
      <c r="C122" s="8"/>
      <c r="D122" s="8"/>
      <c r="E122" s="8"/>
      <c r="F122" s="8"/>
      <c r="G122" s="8"/>
      <c r="H122" s="459"/>
      <c r="I122" s="30" t="n">
        <v>0</v>
      </c>
      <c r="J122" s="20" t="n">
        <f aca="false">I122</f>
        <v>0</v>
      </c>
      <c r="K122" s="20" t="n">
        <f aca="false">J122</f>
        <v>0</v>
      </c>
      <c r="L122" s="20" t="n">
        <f aca="false">K122</f>
        <v>0</v>
      </c>
      <c r="M122" s="73" t="n">
        <f aca="false">L122</f>
        <v>0</v>
      </c>
    </row>
    <row r="123" customFormat="false" ht="15" hidden="false" customHeight="false" outlineLevel="0" collapsed="false">
      <c r="B123" s="104" t="s">
        <v>378</v>
      </c>
      <c r="C123" s="34"/>
      <c r="D123" s="34"/>
      <c r="E123" s="34"/>
      <c r="F123" s="34"/>
      <c r="G123" s="34"/>
      <c r="H123" s="460"/>
      <c r="I123" s="32" t="n">
        <f aca="false">SUM(I120:I122)</f>
        <v>26589.178159907</v>
      </c>
      <c r="J123" s="32" t="n">
        <f aca="false">SUM(J120:J122)</f>
        <v>26589.178159907</v>
      </c>
      <c r="K123" s="32" t="n">
        <f aca="false">SUM(K120:K122)</f>
        <v>26589.178159907</v>
      </c>
      <c r="L123" s="32" t="n">
        <f aca="false">SUM(L120:L122)</f>
        <v>26589.178159907</v>
      </c>
      <c r="M123" s="79" t="n">
        <f aca="false">SUM(M120:M122)</f>
        <v>26589.178159907</v>
      </c>
    </row>
    <row r="124" customFormat="false" ht="15" hidden="false" customHeight="false" outlineLevel="0" collapsed="false">
      <c r="B124" s="7"/>
      <c r="C124" s="8"/>
      <c r="D124" s="8"/>
      <c r="E124" s="8"/>
      <c r="F124" s="8"/>
      <c r="G124" s="8"/>
      <c r="H124" s="459"/>
      <c r="I124" s="8"/>
      <c r="J124" s="8"/>
      <c r="K124" s="8"/>
      <c r="L124" s="8"/>
      <c r="M124" s="9"/>
    </row>
    <row r="125" customFormat="false" ht="15" hidden="false" customHeight="false" outlineLevel="0" collapsed="false">
      <c r="B125" s="7" t="s">
        <v>379</v>
      </c>
      <c r="C125" s="8"/>
      <c r="D125" s="8"/>
      <c r="E125" s="8"/>
      <c r="F125" s="8"/>
      <c r="G125" s="8"/>
      <c r="H125" s="459"/>
      <c r="I125" s="27" t="n">
        <f aca="false">-AVERAGE(I115,I118)*$F$31-AVERAGE(I120,I123)*$F$32</f>
        <v>-8973.61112753853</v>
      </c>
      <c r="J125" s="27" t="n">
        <f aca="false">-AVERAGE(J115,J118)*$F$31-AVERAGE(J120,J123)*$F$32</f>
        <v>-8292.35938180001</v>
      </c>
      <c r="K125" s="27" t="n">
        <f aca="false">-AVERAGE(K115,K118)*$F$31-AVERAGE(K120,K123)*$F$32</f>
        <v>-7527.09276696544</v>
      </c>
      <c r="L125" s="27" t="n">
        <f aca="false">-AVERAGE(L115,L118)*$F$31-AVERAGE(L120,L123)*$F$32</f>
        <v>-6624.02174515481</v>
      </c>
      <c r="M125" s="126" t="n">
        <f aca="false">-AVERAGE(M115,M118)*$F$31-AVERAGE(M120,M123)*$F$32</f>
        <v>-5577.77609639778</v>
      </c>
    </row>
    <row r="126" customFormat="false" ht="15" hidden="false" customHeight="false" outlineLevel="0" collapsed="false">
      <c r="B126" s="7" t="s">
        <v>380</v>
      </c>
      <c r="C126" s="8"/>
      <c r="D126" s="8"/>
      <c r="E126" s="8"/>
      <c r="F126" s="8"/>
      <c r="G126" s="8"/>
      <c r="H126" s="459"/>
      <c r="I126" s="27" t="n">
        <f aca="false">AVERAGE(I108,I110)*I57+AVERAGE('AAPL-3-Statements'!H100+'AAPL-3-Statements'!H108,'AAPL-3-Statements'!I100+'AAPL-3-Statements'!I108)*'Basic-LBO'!I57</f>
        <v>346.155</v>
      </c>
      <c r="J126" s="27" t="n">
        <f aca="false">AVERAGE(J108,J110)*J57+AVERAGE('AAPL-3-Statements'!I100+'AAPL-3-Statements'!I108,'AAPL-3-Statements'!J100+'AAPL-3-Statements'!J108)*'Basic-LBO'!J57</f>
        <v>338.36</v>
      </c>
      <c r="K126" s="27" t="n">
        <f aca="false">AVERAGE(K108,K110)*K57+AVERAGE('AAPL-3-Statements'!J100+'AAPL-3-Statements'!J108,'AAPL-3-Statements'!K100+'AAPL-3-Statements'!K108)*'Basic-LBO'!K57</f>
        <v>676.72</v>
      </c>
      <c r="L126" s="27" t="n">
        <f aca="false">AVERAGE(L108,L110)*L57+AVERAGE('AAPL-3-Statements'!K100+'AAPL-3-Statements'!K108,'AAPL-3-Statements'!L100+'AAPL-3-Statements'!L108)*'Basic-LBO'!L57</f>
        <v>676.72</v>
      </c>
      <c r="M126" s="126" t="n">
        <f aca="false">AVERAGE(M108,M110)*M57+AVERAGE('AAPL-3-Statements'!L100+'AAPL-3-Statements'!L108,'AAPL-3-Statements'!M100+'AAPL-3-Statements'!M108)*'Basic-LBO'!M57</f>
        <v>1015.08</v>
      </c>
    </row>
    <row r="127" customFormat="false" ht="15" hidden="false" customHeight="false" outlineLevel="0" collapsed="false">
      <c r="B127" s="7"/>
      <c r="C127" s="8"/>
      <c r="D127" s="8"/>
      <c r="E127" s="8"/>
      <c r="F127" s="8"/>
      <c r="G127" s="8"/>
      <c r="H127" s="459"/>
      <c r="I127" s="8"/>
      <c r="J127" s="8"/>
      <c r="K127" s="8"/>
      <c r="L127" s="8"/>
      <c r="M127" s="9"/>
    </row>
    <row r="128" customFormat="false" ht="15" hidden="false" customHeight="false" outlineLevel="0" collapsed="false">
      <c r="B128" s="44" t="s">
        <v>381</v>
      </c>
      <c r="C128" s="45"/>
      <c r="D128" s="45"/>
      <c r="E128" s="45"/>
      <c r="F128" s="45"/>
      <c r="G128" s="45"/>
      <c r="H128" s="461"/>
      <c r="I128" s="133" t="n">
        <f aca="false">I126+I125</f>
        <v>-8627.45612753853</v>
      </c>
      <c r="J128" s="133" t="n">
        <f aca="false">J126+J125</f>
        <v>-7953.99938180001</v>
      </c>
      <c r="K128" s="133" t="n">
        <f aca="false">K126+K125</f>
        <v>-6850.37276696544</v>
      </c>
      <c r="L128" s="133" t="n">
        <f aca="false">L126+L125</f>
        <v>-5947.30174515481</v>
      </c>
      <c r="M128" s="134" t="n">
        <f aca="false">M126+M125</f>
        <v>-4562.69609639778</v>
      </c>
    </row>
    <row r="130" customFormat="false" ht="15" hidden="false" customHeight="false" outlineLevel="0" collapsed="false">
      <c r="B130" s="3" t="s">
        <v>382</v>
      </c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6"/>
    </row>
    <row r="131" customFormat="false" ht="15" hidden="false" customHeight="false" outlineLevel="0" collapsed="false">
      <c r="B131" s="462"/>
      <c r="C131" s="34"/>
      <c r="D131" s="34"/>
      <c r="E131" s="34"/>
      <c r="F131" s="38" t="str">
        <f aca="false">$F$48</f>
        <v>FY 2007</v>
      </c>
      <c r="G131" s="38" t="str">
        <f aca="false">$G$48</f>
        <v>FY 2008</v>
      </c>
      <c r="H131" s="39" t="str">
        <f aca="false">$H$48</f>
        <v>FY 2009</v>
      </c>
      <c r="I131" s="38" t="str">
        <f aca="false">$I$48</f>
        <v>FY 2010E</v>
      </c>
      <c r="J131" s="38" t="str">
        <f aca="false">$J$48</f>
        <v>FY 2011E</v>
      </c>
      <c r="K131" s="38" t="str">
        <f aca="false">$K$48</f>
        <v>FY 2012E</v>
      </c>
      <c r="L131" s="38" t="str">
        <f aca="false">$L$48</f>
        <v>FY 2013E</v>
      </c>
      <c r="M131" s="39" t="str">
        <f aca="false">$M$48</f>
        <v>FY 2014E</v>
      </c>
    </row>
    <row r="132" customFormat="false" ht="15" hidden="false" customHeight="false" outlineLevel="0" collapsed="false">
      <c r="B132" s="7"/>
      <c r="C132" s="8"/>
      <c r="D132" s="8"/>
      <c r="E132" s="8"/>
      <c r="F132" s="8"/>
      <c r="G132" s="8"/>
      <c r="H132" s="99"/>
      <c r="I132" s="8"/>
      <c r="J132" s="8"/>
      <c r="K132" s="8"/>
      <c r="L132" s="8"/>
      <c r="M132" s="9"/>
    </row>
    <row r="133" customFormat="false" ht="15" hidden="false" customHeight="false" outlineLevel="0" collapsed="false">
      <c r="B133" s="7" t="s">
        <v>81</v>
      </c>
      <c r="C133" s="8"/>
      <c r="D133" s="8"/>
      <c r="E133" s="8"/>
      <c r="F133" s="8"/>
      <c r="G133" s="8"/>
      <c r="H133" s="126" t="n">
        <f aca="false">H85</f>
        <v>13184</v>
      </c>
      <c r="I133" s="8"/>
      <c r="J133" s="8"/>
      <c r="K133" s="8"/>
      <c r="L133" s="8"/>
      <c r="M133" s="126" t="n">
        <f aca="false">M85</f>
        <v>24961.8243888</v>
      </c>
    </row>
    <row r="134" customFormat="false" ht="15" hidden="false" customHeight="false" outlineLevel="0" collapsed="false">
      <c r="B134" s="7" t="s">
        <v>383</v>
      </c>
      <c r="C134" s="8"/>
      <c r="D134" s="8"/>
      <c r="E134" s="8"/>
      <c r="F134" s="8"/>
      <c r="G134" s="8"/>
      <c r="H134" s="43" t="n">
        <f aca="false">H135/H133</f>
        <v>13.4495164805261</v>
      </c>
      <c r="I134" s="8"/>
      <c r="J134" s="8"/>
      <c r="K134" s="8"/>
      <c r="L134" s="8"/>
      <c r="M134" s="463" t="n">
        <f aca="false">L12</f>
        <v>10</v>
      </c>
    </row>
    <row r="135" customFormat="false" ht="15" hidden="false" customHeight="false" outlineLevel="0" collapsed="false">
      <c r="B135" s="7" t="s">
        <v>32</v>
      </c>
      <c r="C135" s="8"/>
      <c r="D135" s="8"/>
      <c r="E135" s="8"/>
      <c r="F135" s="8"/>
      <c r="G135" s="8"/>
      <c r="H135" s="126" t="n">
        <f aca="false">L8</f>
        <v>177318.425279256</v>
      </c>
      <c r="I135" s="8"/>
      <c r="J135" s="8"/>
      <c r="K135" s="8"/>
      <c r="L135" s="8"/>
      <c r="M135" s="126" t="n">
        <f aca="false">M133*M134</f>
        <v>249618.243888</v>
      </c>
    </row>
    <row r="136" customFormat="false" ht="15" hidden="false" customHeight="false" outlineLevel="0" collapsed="false">
      <c r="B136" s="7" t="s">
        <v>356</v>
      </c>
      <c r="C136" s="8"/>
      <c r="D136" s="8"/>
      <c r="E136" s="8"/>
      <c r="F136" s="8"/>
      <c r="G136" s="8"/>
      <c r="H136" s="126" t="n">
        <f aca="false">-F39</f>
        <v>-106463.069352268</v>
      </c>
      <c r="I136" s="30" t="n">
        <v>0</v>
      </c>
      <c r="J136" s="30" t="n">
        <v>0</v>
      </c>
      <c r="K136" s="30" t="n">
        <v>0</v>
      </c>
      <c r="L136" s="30" t="n">
        <v>0</v>
      </c>
      <c r="M136" s="126" t="n">
        <f aca="false">M135+M110+'AAPL-3-Statements'!M100+'AAPL-3-Statements'!M108-M118-M123</f>
        <v>230700.368548885</v>
      </c>
    </row>
    <row r="137" customFormat="false" ht="15" hidden="false" customHeight="false" outlineLevel="0" collapsed="false">
      <c r="B137" s="7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9"/>
    </row>
    <row r="138" customFormat="false" ht="15" hidden="false" customHeight="false" outlineLevel="0" collapsed="false">
      <c r="B138" s="44" t="s">
        <v>384</v>
      </c>
      <c r="C138" s="45"/>
      <c r="D138" s="45"/>
      <c r="E138" s="45"/>
      <c r="F138" s="45"/>
      <c r="G138" s="45"/>
      <c r="H138" s="464" t="n">
        <f aca="false">IRR(H136:M136)</f>
        <v>0.167266068472152</v>
      </c>
      <c r="I138" s="45"/>
      <c r="J138" s="45"/>
      <c r="K138" s="45"/>
      <c r="L138" s="45"/>
      <c r="M138" s="364"/>
    </row>
    <row r="140" customFormat="false" ht="15" hidden="false" customHeight="false" outlineLevel="0" collapsed="false">
      <c r="B140" s="1" t="s">
        <v>385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customFormat="false" ht="15" hidden="false" customHeight="false" outlineLevel="0" collapsed="false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B142" s="408"/>
      <c r="C142" s="409"/>
      <c r="D142" s="409"/>
      <c r="E142" s="410" t="s">
        <v>386</v>
      </c>
      <c r="F142" s="410"/>
      <c r="G142" s="410"/>
      <c r="H142" s="410"/>
      <c r="I142" s="410"/>
      <c r="J142" s="410"/>
      <c r="K142" s="410"/>
      <c r="L142" s="410"/>
      <c r="M142" s="410"/>
    </row>
    <row r="143" customFormat="false" ht="15" hidden="false" customHeight="false" outlineLevel="0" collapsed="false">
      <c r="B143" s="411"/>
      <c r="C143" s="412"/>
      <c r="D143" s="465" t="n">
        <f aca="false">$H$138</f>
        <v>0.167266068472152</v>
      </c>
      <c r="E143" s="466" t="n">
        <v>6</v>
      </c>
      <c r="F143" s="466" t="n">
        <f aca="false">E143+1</f>
        <v>7</v>
      </c>
      <c r="G143" s="466" t="n">
        <f aca="false">F143+1</f>
        <v>8</v>
      </c>
      <c r="H143" s="466" t="n">
        <f aca="false">G143+1</f>
        <v>9</v>
      </c>
      <c r="I143" s="466" t="n">
        <f aca="false">H143+1</f>
        <v>10</v>
      </c>
      <c r="J143" s="466" t="n">
        <f aca="false">I143+1</f>
        <v>11</v>
      </c>
      <c r="K143" s="466" t="n">
        <f aca="false">J143+1</f>
        <v>12</v>
      </c>
      <c r="L143" s="466" t="n">
        <f aca="false">K143+1</f>
        <v>13</v>
      </c>
      <c r="M143" s="466" t="n">
        <f aca="false">L143+1</f>
        <v>14</v>
      </c>
    </row>
    <row r="144" customFormat="false" ht="15" hidden="false" customHeight="true" outlineLevel="0" collapsed="false">
      <c r="B144" s="415" t="s">
        <v>387</v>
      </c>
      <c r="C144" s="416" t="n">
        <f aca="false">(1+D144)*$F$7</f>
        <v>278.487</v>
      </c>
      <c r="D144" s="467" t="n">
        <f aca="false">D145+5%</f>
        <v>0.45</v>
      </c>
      <c r="E144" s="417" t="n">
        <f aca="true">TABLE($D$143,$F$8,$D144,$L$12,E$143)</f>
        <v>0.167266068472152</v>
      </c>
      <c r="F144" s="418" t="n">
        <f aca="true">TABLE($D$143,$F$8,$D144,$L$12,F$143)</f>
        <v>0.167266068472152</v>
      </c>
      <c r="G144" s="418" t="n">
        <f aca="true">TABLE($D$143,$F$8,$D144,$L$12,G$143)</f>
        <v>0.167266068472152</v>
      </c>
      <c r="H144" s="418" t="n">
        <f aca="true">TABLE($D$143,$F$8,$D144,$L$12,H$143)</f>
        <v>0.167266068472152</v>
      </c>
      <c r="I144" s="418" t="n">
        <f aca="true">TABLE($D$143,$F$8,$D144,$L$12,I$143)</f>
        <v>0.167266068472152</v>
      </c>
      <c r="J144" s="418" t="n">
        <f aca="true">TABLE($D$143,$F$8,$D144,$L$12,J$143)</f>
        <v>0.167266068472152</v>
      </c>
      <c r="K144" s="418" t="n">
        <f aca="true">TABLE($D$143,$F$8,$D144,$L$12,K$143)</f>
        <v>0.167266068472152</v>
      </c>
      <c r="L144" s="418" t="n">
        <f aca="true">TABLE($D$143,$F$8,$D144,$L$12,L$143)</f>
        <v>0.167266068472152</v>
      </c>
      <c r="M144" s="419" t="n">
        <f aca="true">TABLE($D$143,$F$8,$D144,$L$12,M$143)</f>
        <v>0.167266068472152</v>
      </c>
    </row>
    <row r="145" customFormat="false" ht="15" hidden="false" customHeight="false" outlineLevel="0" collapsed="false">
      <c r="B145" s="415"/>
      <c r="C145" s="416" t="n">
        <f aca="false">(1+D145)*$F$7</f>
        <v>268.884</v>
      </c>
      <c r="D145" s="467" t="n">
        <f aca="false">D146+5%</f>
        <v>0.4</v>
      </c>
      <c r="E145" s="420" t="n">
        <f aca="true">TABLE($D$143,$F$8,$D145,$L$12,E$143)</f>
        <v>0.167266068472152</v>
      </c>
      <c r="F145" s="421" t="n">
        <f aca="true">TABLE($D$143,$F$8,$D145,$L$12,F$143)</f>
        <v>0.167266068472152</v>
      </c>
      <c r="G145" s="421" t="n">
        <f aca="true">TABLE($D$143,$F$8,$D145,$L$12,G$143)</f>
        <v>0.167266068472152</v>
      </c>
      <c r="H145" s="421" t="n">
        <f aca="true">TABLE($D$143,$F$8,$D145,$L$12,H$143)</f>
        <v>0.167266068472152</v>
      </c>
      <c r="I145" s="421" t="n">
        <f aca="true">TABLE($D$143,$F$8,$D145,$L$12,I$143)</f>
        <v>0.167266068472152</v>
      </c>
      <c r="J145" s="421" t="n">
        <f aca="true">TABLE($D$143,$F$8,$D145,$L$12,J$143)</f>
        <v>0.167266068472152</v>
      </c>
      <c r="K145" s="421" t="n">
        <f aca="true">TABLE($D$143,$F$8,$D145,$L$12,K$143)</f>
        <v>0.167266068472152</v>
      </c>
      <c r="L145" s="421" t="n">
        <f aca="true">TABLE($D$143,$F$8,$D145,$L$12,L$143)</f>
        <v>0.167266068472152</v>
      </c>
      <c r="M145" s="422" t="n">
        <f aca="true">TABLE($D$143,$F$8,$D145,$L$12,M$143)</f>
        <v>0.167266068472152</v>
      </c>
    </row>
    <row r="146" customFormat="false" ht="15" hidden="false" customHeight="false" outlineLevel="0" collapsed="false">
      <c r="B146" s="415"/>
      <c r="C146" s="416" t="n">
        <f aca="false">(1+D146)*$F$7</f>
        <v>259.281</v>
      </c>
      <c r="D146" s="467" t="n">
        <f aca="false">D147+5%</f>
        <v>0.35</v>
      </c>
      <c r="E146" s="420" t="n">
        <f aca="true">TABLE($D$143,$F$8,$D146,$L$12,E$143)</f>
        <v>0.167266068472152</v>
      </c>
      <c r="F146" s="421" t="n">
        <f aca="true">TABLE($D$143,$F$8,$D146,$L$12,F$143)</f>
        <v>0.167266068472152</v>
      </c>
      <c r="G146" s="421" t="n">
        <f aca="true">TABLE($D$143,$F$8,$D146,$L$12,G$143)</f>
        <v>0.167266068472152</v>
      </c>
      <c r="H146" s="421" t="n">
        <f aca="true">TABLE($D$143,$F$8,$D146,$L$12,H$143)</f>
        <v>0.167266068472152</v>
      </c>
      <c r="I146" s="421" t="n">
        <f aca="true">TABLE($D$143,$F$8,$D146,$L$12,I$143)</f>
        <v>0.167266068472152</v>
      </c>
      <c r="J146" s="421" t="n">
        <f aca="true">TABLE($D$143,$F$8,$D146,$L$12,J$143)</f>
        <v>0.167266068472152</v>
      </c>
      <c r="K146" s="421" t="n">
        <f aca="true">TABLE($D$143,$F$8,$D146,$L$12,K$143)</f>
        <v>0.167266068472152</v>
      </c>
      <c r="L146" s="421" t="n">
        <f aca="true">TABLE($D$143,$F$8,$D146,$L$12,L$143)</f>
        <v>0.167266068472152</v>
      </c>
      <c r="M146" s="422" t="n">
        <f aca="true">TABLE($D$143,$F$8,$D146,$L$12,M$143)</f>
        <v>0.167266068472152</v>
      </c>
    </row>
    <row r="147" customFormat="false" ht="15" hidden="false" customHeight="false" outlineLevel="0" collapsed="false">
      <c r="B147" s="415"/>
      <c r="C147" s="416" t="n">
        <f aca="false">(1+D147)*$F$7</f>
        <v>249.678</v>
      </c>
      <c r="D147" s="467" t="n">
        <f aca="false">D148+5%</f>
        <v>0.3</v>
      </c>
      <c r="E147" s="420" t="n">
        <f aca="true">TABLE($D$143,$F$8,$D147,$L$12,E$143)</f>
        <v>0.167266068472152</v>
      </c>
      <c r="F147" s="421" t="n">
        <f aca="true">TABLE($D$143,$F$8,$D147,$L$12,F$143)</f>
        <v>0.167266068472152</v>
      </c>
      <c r="G147" s="421" t="n">
        <f aca="true">TABLE($D$143,$F$8,$D147,$L$12,G$143)</f>
        <v>0.167266068472152</v>
      </c>
      <c r="H147" s="421" t="n">
        <f aca="true">TABLE($D$143,$F$8,$D147,$L$12,H$143)</f>
        <v>0.167266068472152</v>
      </c>
      <c r="I147" s="421" t="n">
        <f aca="true">TABLE($D$143,$F$8,$D147,$L$12,I$143)</f>
        <v>0.167266068472152</v>
      </c>
      <c r="J147" s="421" t="n">
        <f aca="true">TABLE($D$143,$F$8,$D147,$L$12,J$143)</f>
        <v>0.167266068472152</v>
      </c>
      <c r="K147" s="421" t="n">
        <f aca="true">TABLE($D$143,$F$8,$D147,$L$12,K$143)</f>
        <v>0.167266068472152</v>
      </c>
      <c r="L147" s="421" t="n">
        <f aca="true">TABLE($D$143,$F$8,$D147,$L$12,L$143)</f>
        <v>0.167266068472152</v>
      </c>
      <c r="M147" s="422" t="n">
        <f aca="true">TABLE($D$143,$F$8,$D147,$L$12,M$143)</f>
        <v>0.167266068472152</v>
      </c>
    </row>
    <row r="148" customFormat="false" ht="15" hidden="false" customHeight="false" outlineLevel="0" collapsed="false">
      <c r="B148" s="415"/>
      <c r="C148" s="416" t="n">
        <f aca="false">(1+D148)*$F$7</f>
        <v>240.075</v>
      </c>
      <c r="D148" s="467" t="n">
        <f aca="false">D149+5%</f>
        <v>0.25</v>
      </c>
      <c r="E148" s="420" t="n">
        <f aca="true">TABLE($D$143,$F$8,$D148,$L$12,E$143)</f>
        <v>0.167266068472152</v>
      </c>
      <c r="F148" s="421" t="n">
        <f aca="true">TABLE($D$143,$F$8,$D148,$L$12,F$143)</f>
        <v>0.167266068472152</v>
      </c>
      <c r="G148" s="421" t="n">
        <f aca="true">TABLE($D$143,$F$8,$D148,$L$12,G$143)</f>
        <v>0.167266068472152</v>
      </c>
      <c r="H148" s="421" t="n">
        <f aca="true">TABLE($D$143,$F$8,$D148,$L$12,H$143)</f>
        <v>0.167266068472152</v>
      </c>
      <c r="I148" s="421" t="n">
        <f aca="true">TABLE($D$143,$F$8,$D148,$L$12,I$143)</f>
        <v>0.167266068472152</v>
      </c>
      <c r="J148" s="421" t="n">
        <f aca="true">TABLE($D$143,$F$8,$D148,$L$12,J$143)</f>
        <v>0.167266068472152</v>
      </c>
      <c r="K148" s="421" t="n">
        <f aca="true">TABLE($D$143,$F$8,$D148,$L$12,K$143)</f>
        <v>0.167266068472152</v>
      </c>
      <c r="L148" s="421" t="n">
        <f aca="true">TABLE($D$143,$F$8,$D148,$L$12,L$143)</f>
        <v>0.167266068472152</v>
      </c>
      <c r="M148" s="422" t="n">
        <f aca="true">TABLE($D$143,$F$8,$D148,$L$12,M$143)</f>
        <v>0.167266068472152</v>
      </c>
    </row>
    <row r="149" customFormat="false" ht="15" hidden="false" customHeight="false" outlineLevel="0" collapsed="false">
      <c r="B149" s="415"/>
      <c r="C149" s="416" t="n">
        <f aca="false">(1+D149)*$F$7</f>
        <v>230.472</v>
      </c>
      <c r="D149" s="467" t="n">
        <f aca="false">D150+5%</f>
        <v>0.2</v>
      </c>
      <c r="E149" s="420" t="n">
        <f aca="true">TABLE($D$143,$F$8,$D149,$L$12,E$143)</f>
        <v>0.167266068472152</v>
      </c>
      <c r="F149" s="421" t="n">
        <f aca="true">TABLE($D$143,$F$8,$D149,$L$12,F$143)</f>
        <v>0.167266068472152</v>
      </c>
      <c r="G149" s="421" t="n">
        <f aca="true">TABLE($D$143,$F$8,$D149,$L$12,G$143)</f>
        <v>0.167266068472152</v>
      </c>
      <c r="H149" s="421" t="n">
        <f aca="true">TABLE($D$143,$F$8,$D149,$L$12,H$143)</f>
        <v>0.167266068472152</v>
      </c>
      <c r="I149" s="421" t="n">
        <f aca="true">TABLE($D$143,$F$8,$D149,$L$12,I$143)</f>
        <v>0.167266068472152</v>
      </c>
      <c r="J149" s="421" t="n">
        <f aca="true">TABLE($D$143,$F$8,$D149,$L$12,J$143)</f>
        <v>0.167266068472152</v>
      </c>
      <c r="K149" s="421" t="n">
        <f aca="true">TABLE($D$143,$F$8,$D149,$L$12,K$143)</f>
        <v>0.167266068472152</v>
      </c>
      <c r="L149" s="421" t="n">
        <f aca="true">TABLE($D$143,$F$8,$D149,$L$12,L$143)</f>
        <v>0.167266068472152</v>
      </c>
      <c r="M149" s="422" t="n">
        <f aca="true">TABLE($D$143,$F$8,$D149,$L$12,M$143)</f>
        <v>0.167266068472152</v>
      </c>
    </row>
    <row r="150" customFormat="false" ht="15" hidden="false" customHeight="false" outlineLevel="0" collapsed="false">
      <c r="B150" s="415"/>
      <c r="C150" s="416" t="n">
        <f aca="false">(1+D150)*$F$7</f>
        <v>220.869</v>
      </c>
      <c r="D150" s="467" t="n">
        <f aca="false">D151+5%</f>
        <v>0.15</v>
      </c>
      <c r="E150" s="420" t="n">
        <f aca="true">TABLE($D$143,$F$8,$D150,$L$12,E$143)</f>
        <v>0.167266068472152</v>
      </c>
      <c r="F150" s="421" t="n">
        <f aca="true">TABLE($D$143,$F$8,$D150,$L$12,F$143)</f>
        <v>0.167266068472152</v>
      </c>
      <c r="G150" s="421" t="n">
        <f aca="true">TABLE($D$143,$F$8,$D150,$L$12,G$143)</f>
        <v>0.167266068472152</v>
      </c>
      <c r="H150" s="421" t="n">
        <f aca="true">TABLE($D$143,$F$8,$D150,$L$12,H$143)</f>
        <v>0.167266068472152</v>
      </c>
      <c r="I150" s="421" t="n">
        <f aca="true">TABLE($D$143,$F$8,$D150,$L$12,I$143)</f>
        <v>0.167266068472152</v>
      </c>
      <c r="J150" s="421" t="n">
        <f aca="true">TABLE($D$143,$F$8,$D150,$L$12,J$143)</f>
        <v>0.167266068472152</v>
      </c>
      <c r="K150" s="421" t="n">
        <f aca="true">TABLE($D$143,$F$8,$D150,$L$12,K$143)</f>
        <v>0.167266068472152</v>
      </c>
      <c r="L150" s="421" t="n">
        <f aca="true">TABLE($D$143,$F$8,$D150,$L$12,L$143)</f>
        <v>0.167266068472152</v>
      </c>
      <c r="M150" s="422" t="n">
        <f aca="true">TABLE($D$143,$F$8,$D150,$L$12,M$143)</f>
        <v>0.167266068472152</v>
      </c>
    </row>
    <row r="151" customFormat="false" ht="15" hidden="false" customHeight="false" outlineLevel="0" collapsed="false">
      <c r="B151" s="415"/>
      <c r="C151" s="416" t="n">
        <f aca="false">(1+D151)*$F$7</f>
        <v>211.266</v>
      </c>
      <c r="D151" s="467" t="n">
        <f aca="false">D152+5%</f>
        <v>0.1</v>
      </c>
      <c r="E151" s="420" t="n">
        <f aca="true">TABLE($D$143,$F$8,$D151,$L$12,E$143)</f>
        <v>0.167266068472152</v>
      </c>
      <c r="F151" s="421" t="n">
        <f aca="true">TABLE($D$143,$F$8,$D151,$L$12,F$143)</f>
        <v>0.167266068472152</v>
      </c>
      <c r="G151" s="421" t="n">
        <f aca="true">TABLE($D$143,$F$8,$D151,$L$12,G$143)</f>
        <v>0.167266068472152</v>
      </c>
      <c r="H151" s="421" t="n">
        <f aca="true">TABLE($D$143,$F$8,$D151,$L$12,H$143)</f>
        <v>0.167266068472152</v>
      </c>
      <c r="I151" s="421" t="n">
        <f aca="true">TABLE($D$143,$F$8,$D151,$L$12,I$143)</f>
        <v>0.167266068472152</v>
      </c>
      <c r="J151" s="421" t="n">
        <f aca="true">TABLE($D$143,$F$8,$D151,$L$12,J$143)</f>
        <v>0.167266068472152</v>
      </c>
      <c r="K151" s="421" t="n">
        <f aca="true">TABLE($D$143,$F$8,$D151,$L$12,K$143)</f>
        <v>0.167266068472152</v>
      </c>
      <c r="L151" s="421" t="n">
        <f aca="true">TABLE($D$143,$F$8,$D151,$L$12,L$143)</f>
        <v>0.167266068472152</v>
      </c>
      <c r="M151" s="422" t="n">
        <f aca="true">TABLE($D$143,$F$8,$D151,$L$12,M$143)</f>
        <v>0.167266068472152</v>
      </c>
    </row>
    <row r="152" customFormat="false" ht="15" hidden="false" customHeight="false" outlineLevel="0" collapsed="false">
      <c r="B152" s="415"/>
      <c r="C152" s="416" t="n">
        <f aca="false">(1+D152)*$F$7</f>
        <v>201.663</v>
      </c>
      <c r="D152" s="467" t="n">
        <f aca="false">D153+5%</f>
        <v>0.05</v>
      </c>
      <c r="E152" s="420" t="n">
        <f aca="true">TABLE($D$143,$F$8,$D152,$L$12,E$143)</f>
        <v>0.167266068472152</v>
      </c>
      <c r="F152" s="421" t="n">
        <f aca="true">TABLE($D$143,$F$8,$D152,$L$12,F$143)</f>
        <v>0.167266068472152</v>
      </c>
      <c r="G152" s="421" t="n">
        <f aca="true">TABLE($D$143,$F$8,$D152,$L$12,G$143)</f>
        <v>0.167266068472152</v>
      </c>
      <c r="H152" s="421" t="n">
        <f aca="true">TABLE($D$143,$F$8,$D152,$L$12,H$143)</f>
        <v>0.167266068472152</v>
      </c>
      <c r="I152" s="421" t="n">
        <f aca="true">TABLE($D$143,$F$8,$D152,$L$12,I$143)</f>
        <v>0.167266068472152</v>
      </c>
      <c r="J152" s="421" t="n">
        <f aca="true">TABLE($D$143,$F$8,$D152,$L$12,J$143)</f>
        <v>0.167266068472152</v>
      </c>
      <c r="K152" s="421" t="n">
        <f aca="true">TABLE($D$143,$F$8,$D152,$L$12,K$143)</f>
        <v>0.167266068472152</v>
      </c>
      <c r="L152" s="421" t="n">
        <f aca="true">TABLE($D$143,$F$8,$D152,$L$12,L$143)</f>
        <v>0.167266068472152</v>
      </c>
      <c r="M152" s="422" t="n">
        <f aca="true">TABLE($D$143,$F$8,$D152,$L$12,M$143)</f>
        <v>0.167266068472152</v>
      </c>
    </row>
    <row r="153" customFormat="false" ht="15" hidden="false" customHeight="false" outlineLevel="0" collapsed="false">
      <c r="B153" s="415"/>
      <c r="C153" s="468" t="n">
        <f aca="false">(1+D153)*$F$7</f>
        <v>192.06</v>
      </c>
      <c r="D153" s="469" t="n">
        <v>0</v>
      </c>
      <c r="E153" s="424" t="n">
        <f aca="true">TABLE($D$143,$F$8,$D153,$L$12,E$143)</f>
        <v>0.167266068472152</v>
      </c>
      <c r="F153" s="425" t="n">
        <f aca="true">TABLE($D$143,$F$8,$D153,$L$12,F$143)</f>
        <v>0.167266068472152</v>
      </c>
      <c r="G153" s="425" t="n">
        <f aca="true">TABLE($D$143,$F$8,$D153,$L$12,G$143)</f>
        <v>0.167266068472152</v>
      </c>
      <c r="H153" s="425" t="n">
        <f aca="true">TABLE($D$143,$F$8,$D153,$L$12,H$143)</f>
        <v>0.167266068472152</v>
      </c>
      <c r="I153" s="425" t="n">
        <f aca="true">TABLE($D$143,$F$8,$D153,$L$12,I$143)</f>
        <v>0.167266068472152</v>
      </c>
      <c r="J153" s="425" t="n">
        <f aca="true">TABLE($D$143,$F$8,$D153,$L$12,J$143)</f>
        <v>0.167266068472152</v>
      </c>
      <c r="K153" s="425" t="n">
        <f aca="true">TABLE($D$143,$F$8,$D153,$L$12,K$143)</f>
        <v>0.167266068472152</v>
      </c>
      <c r="L153" s="425" t="n">
        <f aca="true">TABLE($D$143,$F$8,$D153,$L$12,L$143)</f>
        <v>0.167266068472152</v>
      </c>
      <c r="M153" s="426" t="n">
        <f aca="true">TABLE($D$143,$F$8,$D153,$L$12,M$143)</f>
        <v>0.167266068472152</v>
      </c>
    </row>
    <row r="155" customFormat="false" ht="15" hidden="false" customHeight="false" outlineLevel="0" collapsed="false">
      <c r="B155" s="1" t="s">
        <v>388</v>
      </c>
    </row>
    <row r="157" customFormat="false" ht="15" hidden="false" customHeight="false" outlineLevel="0" collapsed="false">
      <c r="B157" s="408"/>
      <c r="C157" s="409"/>
      <c r="D157" s="409"/>
      <c r="E157" s="410" t="s">
        <v>265</v>
      </c>
      <c r="F157" s="410"/>
      <c r="G157" s="410"/>
      <c r="H157" s="410"/>
      <c r="I157" s="410"/>
      <c r="J157" s="410"/>
      <c r="K157" s="410"/>
      <c r="L157" s="410"/>
      <c r="M157" s="410"/>
    </row>
    <row r="158" customFormat="false" ht="15" hidden="false" customHeight="false" outlineLevel="0" collapsed="false">
      <c r="B158" s="411"/>
      <c r="C158" s="412"/>
      <c r="D158" s="465" t="n">
        <f aca="false">$H$138</f>
        <v>0.167266068472152</v>
      </c>
      <c r="E158" s="470" t="n">
        <v>0.3</v>
      </c>
      <c r="F158" s="470" t="n">
        <f aca="false">E158+5%</f>
        <v>0.35</v>
      </c>
      <c r="G158" s="470" t="n">
        <f aca="false">F158+5%</f>
        <v>0.4</v>
      </c>
      <c r="H158" s="470" t="n">
        <f aca="false">G158+5%</f>
        <v>0.45</v>
      </c>
      <c r="I158" s="470" t="n">
        <f aca="false">H158+5%</f>
        <v>0.5</v>
      </c>
      <c r="J158" s="470" t="n">
        <f aca="false">I158+5%</f>
        <v>0.55</v>
      </c>
      <c r="K158" s="470" t="n">
        <f aca="false">J158+5%</f>
        <v>0.6</v>
      </c>
      <c r="L158" s="470" t="n">
        <f aca="false">K158+5%</f>
        <v>0.65</v>
      </c>
      <c r="M158" s="471" t="n">
        <f aca="false">L158+5%</f>
        <v>0.7</v>
      </c>
    </row>
    <row r="159" customFormat="false" ht="15" hidden="false" customHeight="true" outlineLevel="0" collapsed="false">
      <c r="B159" s="415" t="s">
        <v>387</v>
      </c>
      <c r="C159" s="416" t="n">
        <f aca="false">C144</f>
        <v>278.487</v>
      </c>
      <c r="D159" s="467" t="n">
        <f aca="false">D144</f>
        <v>0.45</v>
      </c>
      <c r="E159" s="417" t="n">
        <f aca="true">TABLE($D$158,$F$8,$D159,$F$10,E$158)</f>
        <v>0.167266068472152</v>
      </c>
      <c r="F159" s="418" t="n">
        <f aca="true">TABLE($D$158,$F$8,$D159,$F$10,F$158)</f>
        <v>0.167266068472152</v>
      </c>
      <c r="G159" s="418" t="n">
        <f aca="true">TABLE($D$158,$F$8,$D159,$F$10,G$158)</f>
        <v>0.167266068472152</v>
      </c>
      <c r="H159" s="418" t="n">
        <f aca="true">TABLE($D$158,$F$8,$D159,$F$10,H$158)</f>
        <v>0.167266068472152</v>
      </c>
      <c r="I159" s="418" t="n">
        <f aca="true">TABLE($D$158,$F$8,$D159,$F$10,I$158)</f>
        <v>0.167266068472152</v>
      </c>
      <c r="J159" s="418" t="n">
        <f aca="true">TABLE($D$158,$F$8,$D159,$F$10,J$158)</f>
        <v>0.167266068472152</v>
      </c>
      <c r="K159" s="418" t="n">
        <f aca="true">TABLE($D$158,$F$8,$D159,$F$10,K$158)</f>
        <v>0.167266068472152</v>
      </c>
      <c r="L159" s="418" t="n">
        <f aca="true">TABLE($D$158,$F$8,$D159,$F$10,L$158)</f>
        <v>0.167266068472152</v>
      </c>
      <c r="M159" s="419" t="n">
        <f aca="true">TABLE($D$158,$F$8,$D159,$F$10,M$158)</f>
        <v>0.167266068472152</v>
      </c>
    </row>
    <row r="160" customFormat="false" ht="15" hidden="false" customHeight="false" outlineLevel="0" collapsed="false">
      <c r="B160" s="415"/>
      <c r="C160" s="416" t="n">
        <f aca="false">C145</f>
        <v>268.884</v>
      </c>
      <c r="D160" s="467" t="n">
        <f aca="false">D145</f>
        <v>0.4</v>
      </c>
      <c r="E160" s="420" t="n">
        <f aca="true">TABLE($D$158,$F$8,$D160,$F$10,E$158)</f>
        <v>0.167266068472152</v>
      </c>
      <c r="F160" s="421" t="n">
        <f aca="true">TABLE($D$158,$F$8,$D160,$F$10,F$158)</f>
        <v>0.167266068472152</v>
      </c>
      <c r="G160" s="421" t="n">
        <f aca="true">TABLE($D$158,$F$8,$D160,$F$10,G$158)</f>
        <v>0.167266068472152</v>
      </c>
      <c r="H160" s="421" t="n">
        <f aca="true">TABLE($D$158,$F$8,$D160,$F$10,H$158)</f>
        <v>0.167266068472152</v>
      </c>
      <c r="I160" s="421" t="n">
        <f aca="true">TABLE($D$158,$F$8,$D160,$F$10,I$158)</f>
        <v>0.167266068472152</v>
      </c>
      <c r="J160" s="421" t="n">
        <f aca="true">TABLE($D$158,$F$8,$D160,$F$10,J$158)</f>
        <v>0.167266068472152</v>
      </c>
      <c r="K160" s="421" t="n">
        <f aca="true">TABLE($D$158,$F$8,$D160,$F$10,K$158)</f>
        <v>0.167266068472152</v>
      </c>
      <c r="L160" s="421" t="n">
        <f aca="true">TABLE($D$158,$F$8,$D160,$F$10,L$158)</f>
        <v>0.167266068472152</v>
      </c>
      <c r="M160" s="422" t="n">
        <f aca="true">TABLE($D$158,$F$8,$D160,$F$10,M$158)</f>
        <v>0.167266068472152</v>
      </c>
    </row>
    <row r="161" customFormat="false" ht="15" hidden="false" customHeight="false" outlineLevel="0" collapsed="false">
      <c r="B161" s="415"/>
      <c r="C161" s="416" t="n">
        <f aca="false">C146</f>
        <v>259.281</v>
      </c>
      <c r="D161" s="467" t="n">
        <f aca="false">D146</f>
        <v>0.35</v>
      </c>
      <c r="E161" s="420" t="n">
        <f aca="true">TABLE($D$158,$F$8,$D161,$F$10,E$158)</f>
        <v>0.167266068472152</v>
      </c>
      <c r="F161" s="421" t="n">
        <f aca="true">TABLE($D$158,$F$8,$D161,$F$10,F$158)</f>
        <v>0.167266068472152</v>
      </c>
      <c r="G161" s="421" t="n">
        <f aca="true">TABLE($D$158,$F$8,$D161,$F$10,G$158)</f>
        <v>0.167266068472152</v>
      </c>
      <c r="H161" s="421" t="n">
        <f aca="true">TABLE($D$158,$F$8,$D161,$F$10,H$158)</f>
        <v>0.167266068472152</v>
      </c>
      <c r="I161" s="421" t="n">
        <f aca="true">TABLE($D$158,$F$8,$D161,$F$10,I$158)</f>
        <v>0.167266068472152</v>
      </c>
      <c r="J161" s="421" t="n">
        <f aca="true">TABLE($D$158,$F$8,$D161,$F$10,J$158)</f>
        <v>0.167266068472152</v>
      </c>
      <c r="K161" s="421" t="n">
        <f aca="true">TABLE($D$158,$F$8,$D161,$F$10,K$158)</f>
        <v>0.167266068472152</v>
      </c>
      <c r="L161" s="421" t="n">
        <f aca="true">TABLE($D$158,$F$8,$D161,$F$10,L$158)</f>
        <v>0.167266068472152</v>
      </c>
      <c r="M161" s="422" t="n">
        <f aca="true">TABLE($D$158,$F$8,$D161,$F$10,M$158)</f>
        <v>0.167266068472152</v>
      </c>
    </row>
    <row r="162" customFormat="false" ht="15" hidden="false" customHeight="false" outlineLevel="0" collapsed="false">
      <c r="B162" s="415"/>
      <c r="C162" s="416" t="n">
        <f aca="false">C147</f>
        <v>249.678</v>
      </c>
      <c r="D162" s="467" t="n">
        <f aca="false">D147</f>
        <v>0.3</v>
      </c>
      <c r="E162" s="420" t="n">
        <f aca="true">TABLE($D$158,$F$8,$D162,$F$10,E$158)</f>
        <v>0.167266068472152</v>
      </c>
      <c r="F162" s="421" t="n">
        <f aca="true">TABLE($D$158,$F$8,$D162,$F$10,F$158)</f>
        <v>0.167266068472152</v>
      </c>
      <c r="G162" s="421" t="n">
        <f aca="true">TABLE($D$158,$F$8,$D162,$F$10,G$158)</f>
        <v>0.167266068472152</v>
      </c>
      <c r="H162" s="421" t="n">
        <f aca="true">TABLE($D$158,$F$8,$D162,$F$10,H$158)</f>
        <v>0.167266068472152</v>
      </c>
      <c r="I162" s="421" t="n">
        <f aca="true">TABLE($D$158,$F$8,$D162,$F$10,I$158)</f>
        <v>0.167266068472152</v>
      </c>
      <c r="J162" s="421" t="n">
        <f aca="true">TABLE($D$158,$F$8,$D162,$F$10,J$158)</f>
        <v>0.167266068472152</v>
      </c>
      <c r="K162" s="421" t="n">
        <f aca="true">TABLE($D$158,$F$8,$D162,$F$10,K$158)</f>
        <v>0.167266068472152</v>
      </c>
      <c r="L162" s="421" t="n">
        <f aca="true">TABLE($D$158,$F$8,$D162,$F$10,L$158)</f>
        <v>0.167266068472152</v>
      </c>
      <c r="M162" s="422" t="n">
        <f aca="true">TABLE($D$158,$F$8,$D162,$F$10,M$158)</f>
        <v>0.167266068472152</v>
      </c>
    </row>
    <row r="163" customFormat="false" ht="15" hidden="false" customHeight="false" outlineLevel="0" collapsed="false">
      <c r="B163" s="415"/>
      <c r="C163" s="416" t="n">
        <f aca="false">C148</f>
        <v>240.075</v>
      </c>
      <c r="D163" s="467" t="n">
        <f aca="false">D148</f>
        <v>0.25</v>
      </c>
      <c r="E163" s="420" t="n">
        <f aca="true">TABLE($D$158,$F$8,$D163,$F$10,E$158)</f>
        <v>0.167266068472152</v>
      </c>
      <c r="F163" s="421" t="n">
        <f aca="true">TABLE($D$158,$F$8,$D163,$F$10,F$158)</f>
        <v>0.167266068472152</v>
      </c>
      <c r="G163" s="421" t="n">
        <f aca="true">TABLE($D$158,$F$8,$D163,$F$10,G$158)</f>
        <v>0.167266068472152</v>
      </c>
      <c r="H163" s="421" t="n">
        <f aca="true">TABLE($D$158,$F$8,$D163,$F$10,H$158)</f>
        <v>0.167266068472152</v>
      </c>
      <c r="I163" s="421" t="n">
        <f aca="true">TABLE($D$158,$F$8,$D163,$F$10,I$158)</f>
        <v>0.167266068472152</v>
      </c>
      <c r="J163" s="421" t="n">
        <f aca="true">TABLE($D$158,$F$8,$D163,$F$10,J$158)</f>
        <v>0.167266068472152</v>
      </c>
      <c r="K163" s="421" t="n">
        <f aca="true">TABLE($D$158,$F$8,$D163,$F$10,K$158)</f>
        <v>0.167266068472152</v>
      </c>
      <c r="L163" s="421" t="n">
        <f aca="true">TABLE($D$158,$F$8,$D163,$F$10,L$158)</f>
        <v>0.167266068472152</v>
      </c>
      <c r="M163" s="422" t="n">
        <f aca="true">TABLE($D$158,$F$8,$D163,$F$10,M$158)</f>
        <v>0.167266068472152</v>
      </c>
    </row>
    <row r="164" customFormat="false" ht="15" hidden="false" customHeight="false" outlineLevel="0" collapsed="false">
      <c r="B164" s="415"/>
      <c r="C164" s="416" t="n">
        <f aca="false">C149</f>
        <v>230.472</v>
      </c>
      <c r="D164" s="467" t="n">
        <f aca="false">D149</f>
        <v>0.2</v>
      </c>
      <c r="E164" s="420" t="n">
        <f aca="true">TABLE($D$158,$F$8,$D164,$F$10,E$158)</f>
        <v>0.167266068472152</v>
      </c>
      <c r="F164" s="421" t="n">
        <f aca="true">TABLE($D$158,$F$8,$D164,$F$10,F$158)</f>
        <v>0.167266068472152</v>
      </c>
      <c r="G164" s="421" t="n">
        <f aca="true">TABLE($D$158,$F$8,$D164,$F$10,G$158)</f>
        <v>0.167266068472152</v>
      </c>
      <c r="H164" s="421" t="n">
        <f aca="true">TABLE($D$158,$F$8,$D164,$F$10,H$158)</f>
        <v>0.167266068472152</v>
      </c>
      <c r="I164" s="421" t="n">
        <f aca="true">TABLE($D$158,$F$8,$D164,$F$10,I$158)</f>
        <v>0.167266068472152</v>
      </c>
      <c r="J164" s="421" t="n">
        <f aca="true">TABLE($D$158,$F$8,$D164,$F$10,J$158)</f>
        <v>0.167266068472152</v>
      </c>
      <c r="K164" s="421" t="n">
        <f aca="true">TABLE($D$158,$F$8,$D164,$F$10,K$158)</f>
        <v>0.167266068472152</v>
      </c>
      <c r="L164" s="421" t="n">
        <f aca="true">TABLE($D$158,$F$8,$D164,$F$10,L$158)</f>
        <v>0.167266068472152</v>
      </c>
      <c r="M164" s="422" t="n">
        <f aca="true">TABLE($D$158,$F$8,$D164,$F$10,M$158)</f>
        <v>0.167266068472152</v>
      </c>
    </row>
    <row r="165" customFormat="false" ht="15" hidden="false" customHeight="false" outlineLevel="0" collapsed="false">
      <c r="B165" s="415"/>
      <c r="C165" s="416" t="n">
        <f aca="false">C150</f>
        <v>220.869</v>
      </c>
      <c r="D165" s="467" t="n">
        <f aca="false">D150</f>
        <v>0.15</v>
      </c>
      <c r="E165" s="420" t="n">
        <f aca="true">TABLE($D$158,$F$8,$D165,$F$10,E$158)</f>
        <v>0.167266068472152</v>
      </c>
      <c r="F165" s="421" t="n">
        <f aca="true">TABLE($D$158,$F$8,$D165,$F$10,F$158)</f>
        <v>0.167266068472152</v>
      </c>
      <c r="G165" s="421" t="n">
        <f aca="true">TABLE($D$158,$F$8,$D165,$F$10,G$158)</f>
        <v>0.167266068472152</v>
      </c>
      <c r="H165" s="421" t="n">
        <f aca="true">TABLE($D$158,$F$8,$D165,$F$10,H$158)</f>
        <v>0.167266068472152</v>
      </c>
      <c r="I165" s="421" t="n">
        <f aca="true">TABLE($D$158,$F$8,$D165,$F$10,I$158)</f>
        <v>0.167266068472152</v>
      </c>
      <c r="J165" s="421" t="n">
        <f aca="true">TABLE($D$158,$F$8,$D165,$F$10,J$158)</f>
        <v>0.167266068472152</v>
      </c>
      <c r="K165" s="421" t="n">
        <f aca="true">TABLE($D$158,$F$8,$D165,$F$10,K$158)</f>
        <v>0.167266068472152</v>
      </c>
      <c r="L165" s="421" t="n">
        <f aca="true">TABLE($D$158,$F$8,$D165,$F$10,L$158)</f>
        <v>0.167266068472152</v>
      </c>
      <c r="M165" s="422" t="n">
        <f aca="true">TABLE($D$158,$F$8,$D165,$F$10,M$158)</f>
        <v>0.167266068472152</v>
      </c>
    </row>
    <row r="166" customFormat="false" ht="15" hidden="false" customHeight="false" outlineLevel="0" collapsed="false">
      <c r="B166" s="415"/>
      <c r="C166" s="416" t="n">
        <f aca="false">C151</f>
        <v>211.266</v>
      </c>
      <c r="D166" s="467" t="n">
        <f aca="false">D151</f>
        <v>0.1</v>
      </c>
      <c r="E166" s="420" t="n">
        <f aca="true">TABLE($D$158,$F$8,$D166,$F$10,E$158)</f>
        <v>0.167266068472152</v>
      </c>
      <c r="F166" s="421" t="n">
        <f aca="true">TABLE($D$158,$F$8,$D166,$F$10,F$158)</f>
        <v>0.167266068472152</v>
      </c>
      <c r="G166" s="421" t="n">
        <f aca="true">TABLE($D$158,$F$8,$D166,$F$10,G$158)</f>
        <v>0.167266068472152</v>
      </c>
      <c r="H166" s="421" t="n">
        <f aca="true">TABLE($D$158,$F$8,$D166,$F$10,H$158)</f>
        <v>0.167266068472152</v>
      </c>
      <c r="I166" s="421" t="n">
        <f aca="true">TABLE($D$158,$F$8,$D166,$F$10,I$158)</f>
        <v>0.167266068472152</v>
      </c>
      <c r="J166" s="421" t="n">
        <f aca="true">TABLE($D$158,$F$8,$D166,$F$10,J$158)</f>
        <v>0.167266068472152</v>
      </c>
      <c r="K166" s="421" t="n">
        <f aca="true">TABLE($D$158,$F$8,$D166,$F$10,K$158)</f>
        <v>0.167266068472152</v>
      </c>
      <c r="L166" s="421" t="n">
        <f aca="true">TABLE($D$158,$F$8,$D166,$F$10,L$158)</f>
        <v>0.167266068472152</v>
      </c>
      <c r="M166" s="422" t="n">
        <f aca="true">TABLE($D$158,$F$8,$D166,$F$10,M$158)</f>
        <v>0.167266068472152</v>
      </c>
    </row>
    <row r="167" customFormat="false" ht="15" hidden="false" customHeight="false" outlineLevel="0" collapsed="false">
      <c r="B167" s="415"/>
      <c r="C167" s="416" t="n">
        <f aca="false">C152</f>
        <v>201.663</v>
      </c>
      <c r="D167" s="467" t="n">
        <f aca="false">D152</f>
        <v>0.05</v>
      </c>
      <c r="E167" s="420" t="n">
        <f aca="true">TABLE($D$158,$F$8,$D167,$F$10,E$158)</f>
        <v>0.167266068472152</v>
      </c>
      <c r="F167" s="421" t="n">
        <f aca="true">TABLE($D$158,$F$8,$D167,$F$10,F$158)</f>
        <v>0.167266068472152</v>
      </c>
      <c r="G167" s="421" t="n">
        <f aca="true">TABLE($D$158,$F$8,$D167,$F$10,G$158)</f>
        <v>0.167266068472152</v>
      </c>
      <c r="H167" s="421" t="n">
        <f aca="true">TABLE($D$158,$F$8,$D167,$F$10,H$158)</f>
        <v>0.167266068472152</v>
      </c>
      <c r="I167" s="421" t="n">
        <f aca="true">TABLE($D$158,$F$8,$D167,$F$10,I$158)</f>
        <v>0.167266068472152</v>
      </c>
      <c r="J167" s="421" t="n">
        <f aca="true">TABLE($D$158,$F$8,$D167,$F$10,J$158)</f>
        <v>0.167266068472152</v>
      </c>
      <c r="K167" s="421" t="n">
        <f aca="true">TABLE($D$158,$F$8,$D167,$F$10,K$158)</f>
        <v>0.167266068472152</v>
      </c>
      <c r="L167" s="421" t="n">
        <f aca="true">TABLE($D$158,$F$8,$D167,$F$10,L$158)</f>
        <v>0.167266068472152</v>
      </c>
      <c r="M167" s="422" t="n">
        <f aca="true">TABLE($D$158,$F$8,$D167,$F$10,M$158)</f>
        <v>0.167266068472152</v>
      </c>
    </row>
    <row r="168" customFormat="false" ht="15" hidden="false" customHeight="false" outlineLevel="0" collapsed="false">
      <c r="B168" s="415"/>
      <c r="C168" s="468" t="n">
        <f aca="false">C153</f>
        <v>192.06</v>
      </c>
      <c r="D168" s="469" t="n">
        <f aca="false">D153</f>
        <v>0</v>
      </c>
      <c r="E168" s="424" t="n">
        <f aca="true">TABLE($D$158,$F$8,$D168,$F$10,E$158)</f>
        <v>0.167266068472152</v>
      </c>
      <c r="F168" s="425" t="n">
        <f aca="true">TABLE($D$158,$F$8,$D168,$F$10,F$158)</f>
        <v>0.167266068472152</v>
      </c>
      <c r="G168" s="425" t="n">
        <f aca="true">TABLE($D$158,$F$8,$D168,$F$10,G$158)</f>
        <v>0.167266068472152</v>
      </c>
      <c r="H168" s="425" t="n">
        <f aca="true">TABLE($D$158,$F$8,$D168,$F$10,H$158)</f>
        <v>0.167266068472152</v>
      </c>
      <c r="I168" s="425" t="n">
        <f aca="true">TABLE($D$158,$F$8,$D168,$F$10,I$158)</f>
        <v>0.167266068472152</v>
      </c>
      <c r="J168" s="425" t="n">
        <f aca="true">TABLE($D$158,$F$8,$D168,$F$10,J$158)</f>
        <v>0.167266068472152</v>
      </c>
      <c r="K168" s="425" t="n">
        <f aca="true">TABLE($D$158,$F$8,$D168,$F$10,K$158)</f>
        <v>0.167266068472152</v>
      </c>
      <c r="L168" s="425" t="n">
        <f aca="true">TABLE($D$158,$F$8,$D168,$F$10,L$158)</f>
        <v>0.167266068472152</v>
      </c>
      <c r="M168" s="426" t="n">
        <f aca="true">TABLE($D$158,$F$8,$D168,$F$10,M$158)</f>
        <v>0.167266068472152</v>
      </c>
    </row>
  </sheetData>
  <mergeCells count="10">
    <mergeCell ref="B13:E13"/>
    <mergeCell ref="B36:F36"/>
    <mergeCell ref="H36:L36"/>
    <mergeCell ref="F47:H47"/>
    <mergeCell ref="I47:M47"/>
    <mergeCell ref="B89:E89"/>
    <mergeCell ref="E142:M142"/>
    <mergeCell ref="B144:B153"/>
    <mergeCell ref="E157:M157"/>
    <mergeCell ref="B159:B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305"/>
  <sheetViews>
    <sheetView showFormulas="false" showGridLines="true" showRowColHeaders="true" showZeros="true" rightToLeft="false" tabSelected="true" showOutlineSymbols="true" defaultGridColor="true" view="normal" topLeftCell="A241" colorId="64" zoomScale="100" zoomScaleNormal="100" zoomScalePageLayoutView="100" workbookViewId="0">
      <selection pane="topLeft" activeCell="B256" activeCellId="0" sqref="B256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6" min="6" style="0" width="10.14"/>
    <col collapsed="false" customWidth="true" hidden="false" outlineLevel="0" max="10" min="9" style="0" width="9.28"/>
    <col collapsed="false" customWidth="true" hidden="false" outlineLevel="0" max="12" min="12" style="0" width="9.28"/>
  </cols>
  <sheetData>
    <row r="2" customFormat="false" ht="15" hidden="false" customHeight="false" outlineLevel="0" collapsed="false">
      <c r="B2" s="1" t="str">
        <f aca="false">Company_Name&amp;" - More Advanced LBO Model"</f>
        <v>Apple Inc. - More Advanced LBO Model</v>
      </c>
    </row>
    <row r="3" customFormat="false" ht="15" hidden="false" customHeight="false" outlineLevel="0" collapsed="false">
      <c r="B3" s="2" t="str">
        <f aca="false">'AAPL-3-Statements'!B3</f>
        <v>($ in Millions, Except Per Share Amounts in Dollars and Share Counts in Thousands)</v>
      </c>
    </row>
    <row r="5" customFormat="false" ht="15" hidden="false" customHeight="false" outlineLevel="0" collapsed="false">
      <c r="B5" s="3" t="s">
        <v>260</v>
      </c>
      <c r="C5" s="4"/>
      <c r="D5" s="4"/>
      <c r="E5" s="4"/>
      <c r="F5" s="4"/>
      <c r="G5" s="4"/>
      <c r="H5" s="5"/>
      <c r="I5" s="5"/>
      <c r="J5" s="5"/>
      <c r="K5" s="5"/>
      <c r="L5" s="6"/>
      <c r="M5" s="472"/>
      <c r="N5" s="473"/>
      <c r="O5" s="473"/>
      <c r="P5" s="473"/>
    </row>
    <row r="6" customFormat="false" ht="15" hidden="false" customHeight="false" outlineLevel="0" collapsed="false">
      <c r="B6" s="7"/>
      <c r="C6" s="8"/>
      <c r="D6" s="8"/>
      <c r="E6" s="8"/>
      <c r="F6" s="8"/>
      <c r="G6" s="8"/>
      <c r="H6" s="8"/>
      <c r="I6" s="8"/>
      <c r="J6" s="8"/>
      <c r="K6" s="8"/>
      <c r="L6" s="9"/>
      <c r="M6" s="474"/>
      <c r="N6" s="360"/>
      <c r="O6" s="360"/>
      <c r="P6" s="360"/>
    </row>
    <row r="7" customFormat="false" ht="15" hidden="false" customHeight="false" outlineLevel="0" collapsed="false">
      <c r="B7" s="7" t="s">
        <v>322</v>
      </c>
      <c r="C7" s="8"/>
      <c r="D7" s="8"/>
      <c r="E7" s="8"/>
      <c r="F7" s="427" t="n">
        <f aca="false">Share_Price</f>
        <v>192.06</v>
      </c>
      <c r="G7" s="8"/>
      <c r="H7" s="8" t="s">
        <v>262</v>
      </c>
      <c r="I7" s="8"/>
      <c r="J7" s="8"/>
      <c r="K7" s="8"/>
      <c r="L7" s="126" t="n">
        <f aca="false">F17</f>
        <v>212713.425279256</v>
      </c>
      <c r="M7" s="474"/>
      <c r="N7" s="360"/>
      <c r="O7" s="360"/>
      <c r="P7" s="360"/>
    </row>
    <row r="8" customFormat="false" ht="15" hidden="false" customHeight="false" outlineLevel="0" collapsed="false">
      <c r="B8" s="7" t="s">
        <v>332</v>
      </c>
      <c r="C8" s="8"/>
      <c r="D8" s="8"/>
      <c r="E8" s="8"/>
      <c r="F8" s="357" t="n">
        <v>0.2</v>
      </c>
      <c r="G8" s="8"/>
      <c r="H8" s="0" t="s">
        <v>32</v>
      </c>
      <c r="L8" s="126" t="n">
        <f aca="false">F23</f>
        <v>177318.425279256</v>
      </c>
      <c r="M8" s="474"/>
      <c r="N8" s="360"/>
      <c r="O8" s="360"/>
      <c r="P8" s="360"/>
    </row>
    <row r="9" customFormat="false" ht="15" hidden="false" customHeight="false" outlineLevel="0" collapsed="false">
      <c r="B9" s="7" t="s">
        <v>321</v>
      </c>
      <c r="C9" s="8"/>
      <c r="D9" s="8"/>
      <c r="E9" s="8"/>
      <c r="F9" s="440" t="n">
        <f aca="false">F7*(1+F8)</f>
        <v>230.472</v>
      </c>
      <c r="G9" s="8"/>
      <c r="H9" s="0" t="s">
        <v>333</v>
      </c>
      <c r="L9" s="43" t="n">
        <f aca="false">L8/H124</f>
        <v>13.4495164805261</v>
      </c>
      <c r="M9" s="474"/>
      <c r="N9" s="360"/>
      <c r="O9" s="360"/>
      <c r="P9" s="360"/>
    </row>
    <row r="10" customFormat="false" ht="15" hidden="false" customHeight="false" outlineLevel="0" collapsed="false">
      <c r="B10" s="7" t="s">
        <v>389</v>
      </c>
      <c r="C10" s="8"/>
      <c r="D10" s="8"/>
      <c r="E10" s="8"/>
      <c r="F10" s="475" t="n">
        <v>6</v>
      </c>
      <c r="G10" s="8"/>
      <c r="H10" s="8" t="s">
        <v>334</v>
      </c>
      <c r="I10" s="8"/>
      <c r="J10" s="8"/>
      <c r="K10" s="8"/>
      <c r="L10" s="126" t="n">
        <f aca="false">F10*H124</f>
        <v>79104</v>
      </c>
      <c r="M10" s="474"/>
      <c r="N10" s="360"/>
      <c r="O10" s="360"/>
      <c r="P10" s="360"/>
    </row>
    <row r="11" customFormat="false" ht="15" hidden="false" customHeight="false" outlineLevel="0" collapsed="false">
      <c r="B11" s="7"/>
      <c r="C11" s="8"/>
      <c r="D11" s="8"/>
      <c r="E11" s="8"/>
      <c r="F11" s="441"/>
      <c r="G11" s="8"/>
      <c r="H11" s="360" t="s">
        <v>336</v>
      </c>
      <c r="I11" s="360"/>
      <c r="J11" s="360"/>
      <c r="K11" s="360"/>
      <c r="L11" s="126" t="n">
        <f aca="false">L7-L10</f>
        <v>133609.425279256</v>
      </c>
      <c r="M11" s="474"/>
      <c r="N11" s="360"/>
      <c r="O11" s="360"/>
      <c r="P11" s="360"/>
    </row>
    <row r="12" customFormat="false" ht="15" hidden="false" customHeight="false" outlineLevel="0" collapsed="false">
      <c r="B12" s="7"/>
      <c r="C12" s="8"/>
      <c r="D12" s="8"/>
      <c r="E12" s="8"/>
      <c r="F12" s="441"/>
      <c r="G12" s="8"/>
      <c r="H12" s="360" t="s">
        <v>337</v>
      </c>
      <c r="I12" s="360"/>
      <c r="J12" s="360"/>
      <c r="K12" s="360"/>
      <c r="L12" s="269" t="n">
        <v>10</v>
      </c>
      <c r="M12" s="474"/>
      <c r="N12" s="360"/>
      <c r="O12" s="360"/>
      <c r="P12" s="360"/>
    </row>
    <row r="13" customFormat="false" ht="15" hidden="false" customHeight="false" outlineLevel="0" collapsed="false">
      <c r="B13" s="431" t="s">
        <v>338</v>
      </c>
      <c r="C13" s="431"/>
      <c r="D13" s="431"/>
      <c r="E13" s="431"/>
      <c r="F13" s="441"/>
      <c r="G13" s="8"/>
      <c r="L13" s="9"/>
      <c r="M13" s="474"/>
      <c r="N13" s="360"/>
      <c r="O13" s="360"/>
      <c r="P13" s="360"/>
    </row>
    <row r="14" customFormat="false" ht="15" hidden="false" customHeight="false" outlineLevel="0" collapsed="false">
      <c r="B14" s="10" t="s">
        <v>12</v>
      </c>
      <c r="F14" s="131" t="n">
        <f aca="false">'AAPL-3-Statements'!E11</f>
        <v>900678.473</v>
      </c>
      <c r="G14" s="8"/>
      <c r="H14" s="8" t="s">
        <v>339</v>
      </c>
      <c r="I14" s="8"/>
      <c r="J14" s="8"/>
      <c r="K14" s="8"/>
      <c r="L14" s="476" t="n">
        <v>0.0002</v>
      </c>
      <c r="M14" s="474"/>
      <c r="N14" s="360"/>
      <c r="O14" s="360"/>
      <c r="P14" s="360"/>
    </row>
    <row r="15" customFormat="false" ht="15" hidden="false" customHeight="false" outlineLevel="0" collapsed="false">
      <c r="B15" s="10" t="s">
        <v>14</v>
      </c>
      <c r="F15" s="20" t="n">
        <f aca="false">F14/Units*F9</f>
        <v>207581.169029256</v>
      </c>
      <c r="G15" s="8"/>
      <c r="H15" s="8" t="s">
        <v>340</v>
      </c>
      <c r="I15" s="8"/>
      <c r="J15" s="8"/>
      <c r="K15" s="8"/>
      <c r="L15" s="476" t="n">
        <v>0.0006</v>
      </c>
      <c r="M15" s="474"/>
      <c r="N15" s="360"/>
      <c r="O15" s="360"/>
      <c r="P15" s="360"/>
    </row>
    <row r="16" customFormat="false" ht="15" hidden="false" customHeight="false" outlineLevel="0" collapsed="false">
      <c r="B16" s="10" t="s">
        <v>15</v>
      </c>
      <c r="F16" s="21" t="n">
        <f aca="false">F14+K23</f>
        <v>922946.931858343</v>
      </c>
      <c r="G16" s="8"/>
      <c r="H16" s="360" t="s">
        <v>390</v>
      </c>
      <c r="L16" s="30" t="n">
        <v>10</v>
      </c>
      <c r="M16" s="474"/>
      <c r="N16" s="360"/>
      <c r="O16" s="360"/>
      <c r="P16" s="360"/>
    </row>
    <row r="17" customFormat="false" ht="15" hidden="false" customHeight="false" outlineLevel="0" collapsed="false">
      <c r="B17" s="10" t="s">
        <v>17</v>
      </c>
      <c r="F17" s="20" t="n">
        <f aca="false">F16/Units*F9</f>
        <v>212713.425279256</v>
      </c>
      <c r="G17" s="8"/>
      <c r="I17" s="12"/>
      <c r="J17" s="12"/>
      <c r="K17" s="12"/>
      <c r="L17" s="9"/>
      <c r="M17" s="474"/>
      <c r="N17" s="360"/>
      <c r="O17" s="360"/>
      <c r="P17" s="360"/>
    </row>
    <row r="18" customFormat="false" ht="15" hidden="false" customHeight="false" outlineLevel="0" collapsed="false">
      <c r="B18" s="26" t="s">
        <v>22</v>
      </c>
      <c r="F18" s="102" t="n">
        <f aca="false">'AAPL-3-Statements'!E15</f>
        <v>35395</v>
      </c>
      <c r="G18" s="8"/>
      <c r="H18" s="12" t="s">
        <v>324</v>
      </c>
      <c r="I18" s="8"/>
      <c r="J18" s="8"/>
      <c r="K18" s="8"/>
      <c r="L18" s="9"/>
      <c r="M18" s="474"/>
      <c r="N18" s="360"/>
      <c r="O18" s="360"/>
      <c r="P18" s="360"/>
    </row>
    <row r="19" customFormat="false" ht="15" hidden="false" customHeight="false" outlineLevel="0" collapsed="false">
      <c r="B19" s="26" t="s">
        <v>24</v>
      </c>
      <c r="F19" s="102" t="n">
        <f aca="false">'AAPL-3-Statements'!E16</f>
        <v>0</v>
      </c>
      <c r="G19" s="8"/>
      <c r="H19" s="23"/>
      <c r="I19" s="23"/>
      <c r="J19" s="23" t="s">
        <v>16</v>
      </c>
      <c r="K19" s="23"/>
      <c r="L19" s="9"/>
      <c r="M19" s="474"/>
      <c r="N19" s="360"/>
      <c r="O19" s="360"/>
      <c r="P19" s="360"/>
    </row>
    <row r="20" customFormat="false" ht="15" hidden="false" customHeight="false" outlineLevel="0" collapsed="false">
      <c r="B20" s="26" t="s">
        <v>26</v>
      </c>
      <c r="C20" s="19"/>
      <c r="D20" s="17"/>
      <c r="F20" s="102" t="n">
        <f aca="false">'AAPL-3-Statements'!E17</f>
        <v>0</v>
      </c>
      <c r="G20" s="8"/>
      <c r="H20" s="24" t="s">
        <v>18</v>
      </c>
      <c r="I20" s="25" t="s">
        <v>19</v>
      </c>
      <c r="J20" s="25" t="s">
        <v>20</v>
      </c>
      <c r="K20" s="24" t="s">
        <v>21</v>
      </c>
      <c r="L20" s="9"/>
      <c r="M20" s="474"/>
      <c r="N20" s="360"/>
      <c r="O20" s="360"/>
      <c r="P20" s="360"/>
    </row>
    <row r="21" customFormat="false" ht="15" hidden="false" customHeight="false" outlineLevel="0" collapsed="false">
      <c r="B21" s="26" t="s">
        <v>28</v>
      </c>
      <c r="C21" s="19"/>
      <c r="D21" s="17"/>
      <c r="F21" s="102" t="n">
        <f aca="false">'AAPL-3-Statements'!E18</f>
        <v>0</v>
      </c>
      <c r="G21" s="8"/>
      <c r="H21" s="28" t="s">
        <v>23</v>
      </c>
      <c r="I21" s="131" t="n">
        <f aca="false">'AAPL-3-Statements'!H15</f>
        <v>34375</v>
      </c>
      <c r="J21" s="427" t="n">
        <f aca="false">'AAPL-3-Statements'!I15</f>
        <v>81.17</v>
      </c>
      <c r="K21" s="21" t="n">
        <f aca="false">IF(J21&gt;F9,0,I21-I21*J21/F9)</f>
        <v>22268.4588583429</v>
      </c>
      <c r="L21" s="9"/>
      <c r="M21" s="474"/>
      <c r="N21" s="360"/>
      <c r="O21" s="360"/>
      <c r="P21" s="360"/>
    </row>
    <row r="22" customFormat="false" ht="15" hidden="false" customHeight="false" outlineLevel="0" collapsed="false">
      <c r="B22" s="26" t="s">
        <v>30</v>
      </c>
      <c r="F22" s="102" t="n">
        <f aca="false">'AAPL-3-Statements'!E19</f>
        <v>0</v>
      </c>
      <c r="G22" s="8"/>
      <c r="H22" s="28" t="s">
        <v>25</v>
      </c>
      <c r="I22" s="19"/>
      <c r="J22" s="17"/>
      <c r="K22" s="21"/>
      <c r="L22" s="9"/>
      <c r="M22" s="474"/>
      <c r="N22" s="360"/>
      <c r="O22" s="360"/>
      <c r="P22" s="360"/>
    </row>
    <row r="23" customFormat="false" ht="15" hidden="false" customHeight="false" outlineLevel="0" collapsed="false">
      <c r="B23" s="44" t="s">
        <v>32</v>
      </c>
      <c r="C23" s="45"/>
      <c r="D23" s="45"/>
      <c r="E23" s="45"/>
      <c r="F23" s="435" t="n">
        <f aca="false">F17-F18+F19+F20+F21+F22</f>
        <v>177318.425279256</v>
      </c>
      <c r="G23" s="45"/>
      <c r="H23" s="437" t="s">
        <v>33</v>
      </c>
      <c r="I23" s="390"/>
      <c r="J23" s="390"/>
      <c r="K23" s="445" t="n">
        <f aca="false">SUM(K21:K22)</f>
        <v>22268.4588583429</v>
      </c>
      <c r="L23" s="364"/>
      <c r="M23" s="474"/>
      <c r="N23" s="360"/>
      <c r="O23" s="360"/>
      <c r="P23" s="360"/>
    </row>
    <row r="25" customFormat="false" ht="15" hidden="false" customHeight="false" outlineLevel="0" collapsed="false">
      <c r="B25" s="3" t="s">
        <v>341</v>
      </c>
      <c r="C25" s="4"/>
      <c r="D25" s="4"/>
      <c r="E25" s="4"/>
      <c r="F25" s="4"/>
      <c r="G25" s="4"/>
      <c r="H25" s="5"/>
      <c r="I25" s="5"/>
      <c r="J25" s="5"/>
      <c r="K25" s="5"/>
      <c r="L25" s="6"/>
      <c r="M25" s="472"/>
      <c r="N25" s="473"/>
      <c r="O25" s="473"/>
      <c r="P25" s="473"/>
    </row>
    <row r="26" customFormat="false" ht="15" hidden="false" customHeight="false" outlineLevel="0" collapsed="false">
      <c r="B26" s="7"/>
      <c r="C26" s="8"/>
      <c r="D26" s="8"/>
      <c r="E26" s="8"/>
      <c r="F26" s="8"/>
      <c r="G26" s="8"/>
      <c r="H26" s="8"/>
      <c r="I26" s="8"/>
      <c r="J26" s="8"/>
      <c r="K26" s="8"/>
      <c r="L26" s="9"/>
      <c r="M26" s="474"/>
      <c r="N26" s="360"/>
      <c r="O26" s="360"/>
      <c r="P26" s="360"/>
    </row>
    <row r="27" customFormat="false" ht="15" hidden="false" customHeight="false" outlineLevel="0" collapsed="false">
      <c r="B27" s="7" t="s">
        <v>389</v>
      </c>
      <c r="C27" s="8"/>
      <c r="D27" s="8"/>
      <c r="E27" s="8"/>
      <c r="F27" s="152" t="n">
        <f aca="false">F10</f>
        <v>6</v>
      </c>
      <c r="G27" s="8"/>
      <c r="H27" s="8" t="s">
        <v>334</v>
      </c>
      <c r="I27" s="8"/>
      <c r="J27" s="8"/>
      <c r="K27" s="8"/>
      <c r="L27" s="126" t="n">
        <f aca="false">L10</f>
        <v>79104</v>
      </c>
      <c r="M27" s="474"/>
      <c r="N27" s="360"/>
      <c r="O27" s="360"/>
      <c r="P27" s="360"/>
    </row>
    <row r="28" customFormat="false" ht="15" hidden="false" customHeight="false" outlineLevel="0" collapsed="false">
      <c r="B28" s="7" t="s">
        <v>391</v>
      </c>
      <c r="C28" s="8"/>
      <c r="D28" s="8"/>
      <c r="E28" s="8"/>
      <c r="F28" s="19" t="n">
        <v>10000</v>
      </c>
      <c r="G28" s="8"/>
      <c r="H28" s="8" t="s">
        <v>392</v>
      </c>
      <c r="I28" s="8"/>
      <c r="J28" s="8"/>
      <c r="K28" s="8"/>
      <c r="L28" s="15" t="n">
        <v>2000</v>
      </c>
      <c r="M28" s="474"/>
      <c r="N28" s="360"/>
      <c r="O28" s="360"/>
      <c r="P28" s="360"/>
    </row>
    <row r="29" customFormat="false" ht="15" hidden="false" customHeight="false" outlineLevel="0" collapsed="false">
      <c r="B29" s="7" t="s">
        <v>393</v>
      </c>
      <c r="C29" s="8"/>
      <c r="D29" s="8"/>
      <c r="E29" s="8"/>
      <c r="F29" s="357" t="n">
        <v>0.4</v>
      </c>
      <c r="G29" s="8"/>
      <c r="H29" s="8" t="s">
        <v>394</v>
      </c>
      <c r="I29" s="8"/>
      <c r="J29" s="8"/>
      <c r="K29" s="8"/>
      <c r="L29" s="126" t="n">
        <f aca="false">F29*$L$27</f>
        <v>31641.6</v>
      </c>
      <c r="M29" s="474"/>
      <c r="N29" s="360"/>
      <c r="O29" s="360"/>
      <c r="P29" s="360"/>
    </row>
    <row r="30" customFormat="false" ht="15" hidden="false" customHeight="false" outlineLevel="0" collapsed="false">
      <c r="B30" s="7" t="s">
        <v>395</v>
      </c>
      <c r="C30" s="8"/>
      <c r="D30" s="8"/>
      <c r="E30" s="8"/>
      <c r="F30" s="357" t="n">
        <v>0.3</v>
      </c>
      <c r="G30" s="8"/>
      <c r="H30" s="360" t="s">
        <v>396</v>
      </c>
      <c r="I30" s="360"/>
      <c r="J30" s="360"/>
      <c r="K30" s="360"/>
      <c r="L30" s="126" t="n">
        <f aca="false">F30*$L$27</f>
        <v>23731.2</v>
      </c>
      <c r="M30" s="474"/>
      <c r="N30" s="360"/>
      <c r="O30" s="360"/>
      <c r="P30" s="360"/>
    </row>
    <row r="31" customFormat="false" ht="15" hidden="false" customHeight="false" outlineLevel="0" collapsed="false">
      <c r="B31" s="7" t="s">
        <v>397</v>
      </c>
      <c r="C31" s="8"/>
      <c r="D31" s="8"/>
      <c r="E31" s="8"/>
      <c r="F31" s="357" t="n">
        <v>0.2</v>
      </c>
      <c r="G31" s="8"/>
      <c r="H31" s="8" t="s">
        <v>398</v>
      </c>
      <c r="I31" s="8"/>
      <c r="J31" s="8"/>
      <c r="K31" s="8"/>
      <c r="L31" s="126" t="n">
        <f aca="false">F31*$L$27</f>
        <v>15820.8</v>
      </c>
      <c r="M31" s="474"/>
      <c r="N31" s="360"/>
      <c r="O31" s="360"/>
      <c r="P31" s="360"/>
    </row>
    <row r="32" customFormat="false" ht="15" hidden="false" customHeight="false" outlineLevel="0" collapsed="false">
      <c r="B32" s="7" t="s">
        <v>399</v>
      </c>
      <c r="C32" s="8"/>
      <c r="D32" s="8"/>
      <c r="E32" s="8"/>
      <c r="F32" s="357" t="n">
        <v>0.1</v>
      </c>
      <c r="G32" s="8"/>
      <c r="H32" s="8" t="s">
        <v>400</v>
      </c>
      <c r="I32" s="8"/>
      <c r="J32" s="8"/>
      <c r="K32" s="8"/>
      <c r="L32" s="126" t="n">
        <f aca="false">F32*$L$27</f>
        <v>7910.4</v>
      </c>
      <c r="M32" s="474"/>
      <c r="N32" s="477"/>
      <c r="O32" s="360"/>
      <c r="P32" s="360"/>
    </row>
    <row r="33" customFormat="false" ht="15" hidden="false" customHeight="false" outlineLevel="0" collapsed="false">
      <c r="B33" s="7"/>
      <c r="C33" s="8"/>
      <c r="D33" s="8"/>
      <c r="E33" s="8"/>
      <c r="F33" s="441"/>
      <c r="G33" s="8"/>
      <c r="H33" s="8"/>
      <c r="I33" s="8"/>
      <c r="J33" s="8"/>
      <c r="K33" s="8"/>
      <c r="L33" s="9"/>
      <c r="M33" s="474"/>
      <c r="N33" s="360"/>
      <c r="O33" s="477"/>
      <c r="P33" s="360"/>
    </row>
    <row r="34" customFormat="false" ht="15" hidden="false" customHeight="false" outlineLevel="0" collapsed="false">
      <c r="B34" s="96" t="s">
        <v>401</v>
      </c>
      <c r="C34" s="96"/>
      <c r="D34" s="96"/>
      <c r="E34" s="96"/>
      <c r="F34" s="96"/>
      <c r="G34" s="8"/>
      <c r="H34" s="429" t="s">
        <v>402</v>
      </c>
      <c r="I34" s="429"/>
      <c r="J34" s="429"/>
      <c r="K34" s="429"/>
      <c r="L34" s="429"/>
      <c r="M34" s="478"/>
      <c r="N34" s="31"/>
      <c r="O34" s="479"/>
      <c r="P34" s="360"/>
    </row>
    <row r="35" customFormat="false" ht="15" hidden="false" customHeight="false" outlineLevel="0" collapsed="false">
      <c r="B35" s="7" t="str">
        <f aca="false">$H$28</f>
        <v>Revolver:</v>
      </c>
      <c r="C35" s="8"/>
      <c r="D35" s="8"/>
      <c r="E35" s="8"/>
      <c r="F35" s="480" t="n">
        <v>250</v>
      </c>
      <c r="G35" s="8"/>
      <c r="H35" s="360" t="str">
        <f aca="false">$H$28</f>
        <v>Revolver:</v>
      </c>
      <c r="I35" s="360"/>
      <c r="J35" s="360"/>
      <c r="K35" s="360"/>
      <c r="L35" s="374" t="s">
        <v>403</v>
      </c>
      <c r="M35" s="474"/>
      <c r="N35" s="360"/>
      <c r="O35" s="360"/>
      <c r="P35" s="360"/>
    </row>
    <row r="36" customFormat="false" ht="15" hidden="false" customHeight="false" outlineLevel="0" collapsed="false">
      <c r="B36" s="7" t="str">
        <f aca="false">$H$29</f>
        <v>Term Loan A:</v>
      </c>
      <c r="C36" s="8"/>
      <c r="D36" s="8"/>
      <c r="E36" s="8"/>
      <c r="F36" s="480" t="n">
        <v>350</v>
      </c>
      <c r="G36" s="8"/>
      <c r="H36" s="8" t="str">
        <f aca="false">$H$29</f>
        <v>Term Loan A:</v>
      </c>
      <c r="I36" s="8"/>
      <c r="J36" s="8"/>
      <c r="K36" s="8"/>
      <c r="L36" s="362" t="n">
        <v>0.1</v>
      </c>
      <c r="M36" s="474"/>
      <c r="N36" s="360"/>
      <c r="O36" s="360"/>
      <c r="P36" s="360"/>
    </row>
    <row r="37" customFormat="false" ht="15" hidden="false" customHeight="false" outlineLevel="0" collapsed="false">
      <c r="B37" s="474" t="str">
        <f aca="false">$H$30</f>
        <v>Term Loan B:</v>
      </c>
      <c r="C37" s="8"/>
      <c r="D37" s="8"/>
      <c r="E37" s="8"/>
      <c r="F37" s="480" t="n">
        <v>500</v>
      </c>
      <c r="G37" s="8"/>
      <c r="H37" s="8" t="str">
        <f aca="false">$H$30</f>
        <v>Term Loan B:</v>
      </c>
      <c r="I37" s="8"/>
      <c r="J37" s="8"/>
      <c r="K37" s="8"/>
      <c r="L37" s="362" t="n">
        <v>0.05</v>
      </c>
      <c r="M37" s="474"/>
      <c r="N37" s="360"/>
      <c r="O37" s="360"/>
      <c r="P37" s="360"/>
    </row>
    <row r="38" customFormat="false" ht="15" hidden="false" customHeight="false" outlineLevel="0" collapsed="false">
      <c r="B38" s="7" t="str">
        <f aca="false">$H$31</f>
        <v>Subordinated Note:</v>
      </c>
      <c r="C38" s="8"/>
      <c r="D38" s="8"/>
      <c r="E38" s="8"/>
      <c r="F38" s="443" t="n">
        <v>0.11</v>
      </c>
      <c r="G38" s="8"/>
      <c r="H38" s="8" t="str">
        <f aca="false">$H$31</f>
        <v>Subordinated Note:</v>
      </c>
      <c r="I38" s="8"/>
      <c r="J38" s="8"/>
      <c r="K38" s="8"/>
      <c r="L38" s="362" t="n">
        <v>0</v>
      </c>
      <c r="M38" s="474"/>
      <c r="N38" s="360"/>
      <c r="O38" s="360"/>
      <c r="P38" s="360"/>
    </row>
    <row r="39" customFormat="false" ht="15" hidden="false" customHeight="false" outlineLevel="0" collapsed="false">
      <c r="B39" s="63" t="str">
        <f aca="false">$H$32</f>
        <v>PIK Loan:</v>
      </c>
      <c r="C39" s="45"/>
      <c r="D39" s="45"/>
      <c r="E39" s="45"/>
      <c r="F39" s="481" t="n">
        <v>0.13</v>
      </c>
      <c r="G39" s="45"/>
      <c r="H39" s="45" t="str">
        <f aca="false">$H$32</f>
        <v>PIK Loan:</v>
      </c>
      <c r="I39" s="45"/>
      <c r="J39" s="45"/>
      <c r="K39" s="45"/>
      <c r="L39" s="482" t="n">
        <v>0</v>
      </c>
      <c r="M39" s="474"/>
      <c r="N39" s="360"/>
      <c r="O39" s="360"/>
      <c r="P39" s="360"/>
    </row>
    <row r="41" customFormat="false" ht="15" hidden="false" customHeight="false" outlineLevel="0" collapsed="false">
      <c r="B41" s="3" t="s">
        <v>351</v>
      </c>
      <c r="C41" s="4"/>
      <c r="D41" s="4"/>
      <c r="E41" s="4"/>
      <c r="F41" s="4"/>
      <c r="G41" s="4"/>
      <c r="H41" s="5"/>
      <c r="I41" s="5"/>
      <c r="J41" s="5"/>
      <c r="K41" s="5"/>
      <c r="L41" s="6"/>
      <c r="M41" s="472"/>
      <c r="N41" s="473"/>
      <c r="O41" s="473"/>
      <c r="P41" s="473"/>
    </row>
    <row r="42" customFormat="false" ht="15" hidden="false" customHeight="false" outlineLevel="0" collapsed="false">
      <c r="B42" s="7"/>
      <c r="C42" s="8"/>
      <c r="D42" s="8"/>
      <c r="E42" s="8"/>
      <c r="F42" s="8"/>
      <c r="G42" s="8"/>
      <c r="H42" s="8"/>
      <c r="I42" s="8"/>
      <c r="J42" s="8"/>
      <c r="K42" s="8"/>
      <c r="L42" s="9"/>
      <c r="M42" s="474"/>
      <c r="N42" s="8"/>
      <c r="O42" s="8"/>
      <c r="P42" s="8"/>
    </row>
    <row r="43" customFormat="false" ht="15" hidden="false" customHeight="false" outlineLevel="0" collapsed="false">
      <c r="B43" s="96" t="s">
        <v>352</v>
      </c>
      <c r="C43" s="96"/>
      <c r="D43" s="96"/>
      <c r="E43" s="96"/>
      <c r="F43" s="96"/>
      <c r="G43" s="8"/>
      <c r="H43" s="429" t="s">
        <v>353</v>
      </c>
      <c r="I43" s="429"/>
      <c r="J43" s="429"/>
      <c r="K43" s="429"/>
      <c r="L43" s="429"/>
      <c r="M43" s="478"/>
      <c r="N43" s="28"/>
      <c r="O43" s="28"/>
      <c r="P43" s="8"/>
    </row>
    <row r="44" customFormat="false" ht="15" hidden="false" customHeight="false" outlineLevel="0" collapsed="false">
      <c r="B44" s="7" t="s">
        <v>404</v>
      </c>
      <c r="C44" s="28"/>
      <c r="D44" s="28"/>
      <c r="E44" s="28"/>
      <c r="F44" s="27" t="n">
        <f aca="false">$F$70-$F$71</f>
        <v>1559</v>
      </c>
      <c r="G44" s="8"/>
      <c r="H44" s="23"/>
      <c r="I44" s="23"/>
      <c r="J44" s="23"/>
      <c r="K44" s="23"/>
      <c r="L44" s="130"/>
      <c r="M44" s="478"/>
      <c r="N44" s="28"/>
      <c r="O44" s="28"/>
      <c r="P44" s="8"/>
    </row>
    <row r="45" customFormat="false" ht="15" hidden="false" customHeight="false" outlineLevel="0" collapsed="false">
      <c r="B45" s="7" t="str">
        <f aca="false">H29</f>
        <v>Term Loan A:</v>
      </c>
      <c r="C45" s="8"/>
      <c r="D45" s="8"/>
      <c r="E45" s="8"/>
      <c r="F45" s="27" t="n">
        <f aca="false">L29</f>
        <v>31641.6</v>
      </c>
      <c r="G45" s="8"/>
      <c r="H45" s="8"/>
      <c r="I45" s="8"/>
      <c r="J45" s="8"/>
      <c r="K45" s="8"/>
      <c r="L45" s="126"/>
      <c r="M45" s="474"/>
      <c r="N45" s="8"/>
      <c r="O45" s="8"/>
      <c r="P45" s="8"/>
    </row>
    <row r="46" customFormat="false" ht="15" hidden="false" customHeight="false" outlineLevel="0" collapsed="false">
      <c r="B46" s="7" t="str">
        <f aca="false">H30</f>
        <v>Term Loan B:</v>
      </c>
      <c r="C46" s="8"/>
      <c r="D46" s="8"/>
      <c r="E46" s="8"/>
      <c r="F46" s="27" t="n">
        <f aca="false">L30</f>
        <v>23731.2</v>
      </c>
      <c r="G46" s="8"/>
      <c r="H46" s="8" t="s">
        <v>354</v>
      </c>
      <c r="I46" s="8"/>
      <c r="J46" s="8"/>
      <c r="K46" s="8"/>
      <c r="L46" s="126" t="n">
        <f aca="false">L7</f>
        <v>212713.425279256</v>
      </c>
      <c r="M46" s="474"/>
      <c r="N46" s="8"/>
      <c r="O46" s="8"/>
      <c r="P46" s="8"/>
    </row>
    <row r="47" customFormat="false" ht="15" hidden="false" customHeight="false" outlineLevel="0" collapsed="false">
      <c r="B47" s="7" t="str">
        <f aca="false">H31</f>
        <v>Subordinated Note:</v>
      </c>
      <c r="C47" s="8"/>
      <c r="D47" s="8"/>
      <c r="E47" s="8"/>
      <c r="F47" s="27" t="n">
        <f aca="false">L31</f>
        <v>15820.8</v>
      </c>
      <c r="G47" s="8"/>
      <c r="H47" s="8" t="s">
        <v>355</v>
      </c>
      <c r="I47" s="8"/>
      <c r="J47" s="8"/>
      <c r="K47" s="8"/>
      <c r="L47" s="126" t="n">
        <f aca="false">L14*L7</f>
        <v>42.5426850558512</v>
      </c>
      <c r="M47" s="474"/>
      <c r="N47" s="8"/>
      <c r="O47" s="8"/>
      <c r="P47" s="8"/>
    </row>
    <row r="48" customFormat="false" ht="15" hidden="false" customHeight="false" outlineLevel="0" collapsed="false">
      <c r="B48" s="7" t="str">
        <f aca="false">H32</f>
        <v>PIK Loan:</v>
      </c>
      <c r="C48" s="8"/>
      <c r="D48" s="8"/>
      <c r="E48" s="8"/>
      <c r="F48" s="27" t="n">
        <f aca="false">L32</f>
        <v>7910.4</v>
      </c>
      <c r="G48" s="8"/>
      <c r="H48" s="360" t="s">
        <v>405</v>
      </c>
      <c r="I48" s="360"/>
      <c r="J48" s="360"/>
      <c r="K48" s="360"/>
      <c r="L48" s="126" t="n">
        <f aca="false">(L27+L28)*L15</f>
        <v>48.6624</v>
      </c>
      <c r="M48" s="474"/>
      <c r="N48" s="8"/>
      <c r="O48" s="8"/>
      <c r="P48" s="8"/>
    </row>
    <row r="49" customFormat="false" ht="15" hidden="false" customHeight="false" outlineLevel="0" collapsed="false">
      <c r="B49" s="7" t="s">
        <v>356</v>
      </c>
      <c r="C49" s="8"/>
      <c r="D49" s="8"/>
      <c r="E49" s="8"/>
      <c r="F49" s="27" t="n">
        <f aca="false">L50-SUM(F44:F48)</f>
        <v>132151.630364312</v>
      </c>
      <c r="G49" s="8"/>
      <c r="H49" s="360" t="s">
        <v>390</v>
      </c>
      <c r="L49" s="29" t="n">
        <f aca="false">L16</f>
        <v>10</v>
      </c>
      <c r="M49" s="474"/>
      <c r="N49" s="8"/>
      <c r="O49" s="8"/>
      <c r="P49" s="8"/>
    </row>
    <row r="50" customFormat="false" ht="15" hidden="false" customHeight="false" outlineLevel="0" collapsed="false">
      <c r="B50" s="447" t="s">
        <v>358</v>
      </c>
      <c r="C50" s="390"/>
      <c r="D50" s="390"/>
      <c r="E50" s="390"/>
      <c r="F50" s="435" t="n">
        <f aca="false">SUM(F44:F49)</f>
        <v>212814.630364312</v>
      </c>
      <c r="G50" s="45"/>
      <c r="H50" s="437" t="s">
        <v>359</v>
      </c>
      <c r="I50" s="437"/>
      <c r="J50" s="437"/>
      <c r="K50" s="437"/>
      <c r="L50" s="457" t="n">
        <f aca="false">SUM(L46:L49)</f>
        <v>212814.630364312</v>
      </c>
      <c r="M50" s="474"/>
      <c r="N50" s="8"/>
      <c r="O50" s="8"/>
      <c r="P50" s="8"/>
    </row>
    <row r="52" customFormat="false" ht="15" hidden="false" customHeight="false" outlineLevel="0" collapsed="false">
      <c r="B52" s="3" t="s">
        <v>273</v>
      </c>
      <c r="C52" s="354"/>
      <c r="D52" s="354"/>
      <c r="E52" s="354"/>
      <c r="F52" s="354"/>
      <c r="G52" s="354"/>
      <c r="H52" s="354"/>
      <c r="I52" s="354"/>
      <c r="J52" s="354"/>
      <c r="K52" s="354"/>
      <c r="L52" s="355"/>
    </row>
    <row r="53" customFormat="false" ht="15" hidden="false" customHeight="false" outlineLevel="0" collapsed="false">
      <c r="B53" s="365"/>
      <c r="C53" s="88"/>
      <c r="D53" s="88"/>
      <c r="E53" s="88"/>
      <c r="F53" s="88"/>
      <c r="G53" s="88"/>
      <c r="H53" s="88"/>
      <c r="I53" s="88"/>
      <c r="J53" s="88"/>
      <c r="K53" s="88"/>
      <c r="L53" s="366"/>
    </row>
    <row r="54" customFormat="false" ht="15" hidden="false" customHeight="false" outlineLevel="0" collapsed="false">
      <c r="B54" s="10" t="s">
        <v>274</v>
      </c>
      <c r="C54" s="88"/>
      <c r="D54" s="88"/>
      <c r="E54" s="88"/>
      <c r="F54" s="88"/>
      <c r="G54" s="88"/>
      <c r="H54" s="12" t="s">
        <v>275</v>
      </c>
      <c r="I54" s="88"/>
      <c r="J54" s="88"/>
      <c r="K54" s="88"/>
      <c r="L54" s="366"/>
    </row>
    <row r="55" customFormat="false" ht="15" hidden="false" customHeight="false" outlineLevel="0" collapsed="false">
      <c r="B55" s="26" t="s">
        <v>262</v>
      </c>
      <c r="C55" s="88"/>
      <c r="D55" s="88"/>
      <c r="E55" s="88"/>
      <c r="F55" s="270" t="n">
        <f aca="false">L7</f>
        <v>212713.425279256</v>
      </c>
      <c r="G55" s="88"/>
      <c r="H55" s="8" t="s">
        <v>276</v>
      </c>
      <c r="I55" s="88"/>
      <c r="J55" s="88"/>
      <c r="K55" s="88"/>
      <c r="L55" s="367" t="n">
        <v>0.1</v>
      </c>
    </row>
    <row r="56" customFormat="false" ht="15" hidden="false" customHeight="false" outlineLevel="0" collapsed="false">
      <c r="B56" s="26" t="s">
        <v>277</v>
      </c>
      <c r="C56" s="88"/>
      <c r="D56" s="88"/>
      <c r="E56" s="88"/>
      <c r="F56" s="270" t="n">
        <f aca="false">-H174</f>
        <v>-31905</v>
      </c>
      <c r="G56" s="88"/>
      <c r="H56" s="360" t="s">
        <v>278</v>
      </c>
      <c r="I56" s="88"/>
      <c r="J56" s="88"/>
      <c r="K56" s="88"/>
      <c r="L56" s="271" t="n">
        <f aca="false">L55*H141</f>
        <v>283.9</v>
      </c>
    </row>
    <row r="57" customFormat="false" ht="15" hidden="false" customHeight="false" outlineLevel="0" collapsed="false">
      <c r="B57" s="368" t="s">
        <v>279</v>
      </c>
      <c r="C57" s="88"/>
      <c r="D57" s="88"/>
      <c r="E57" s="88"/>
      <c r="F57" s="259" t="n">
        <f aca="false">H142</f>
        <v>207</v>
      </c>
      <c r="G57" s="88"/>
      <c r="H57" s="360" t="s">
        <v>280</v>
      </c>
      <c r="I57" s="88"/>
      <c r="J57" s="88"/>
      <c r="K57" s="88"/>
      <c r="L57" s="369" t="n">
        <v>8</v>
      </c>
    </row>
    <row r="58" customFormat="false" ht="15" hidden="false" customHeight="false" outlineLevel="0" collapsed="false">
      <c r="B58" s="80" t="s">
        <v>281</v>
      </c>
      <c r="C58" s="88"/>
      <c r="D58" s="88"/>
      <c r="E58" s="88"/>
      <c r="F58" s="370" t="n">
        <f aca="false">F55+F56+F57</f>
        <v>181015.425279256</v>
      </c>
      <c r="G58" s="88"/>
      <c r="H58" s="360"/>
      <c r="I58" s="2"/>
      <c r="J58" s="2"/>
      <c r="K58" s="2"/>
      <c r="L58" s="369"/>
    </row>
    <row r="59" customFormat="false" ht="15" hidden="false" customHeight="false" outlineLevel="0" collapsed="false">
      <c r="B59" s="365"/>
      <c r="C59" s="2"/>
      <c r="D59" s="2"/>
      <c r="E59" s="2"/>
      <c r="F59" s="2"/>
      <c r="G59" s="88"/>
      <c r="H59" s="12" t="s">
        <v>282</v>
      </c>
      <c r="I59" s="88"/>
      <c r="J59" s="88"/>
      <c r="K59" s="88"/>
      <c r="L59" s="366"/>
    </row>
    <row r="60" customFormat="false" ht="15" hidden="false" customHeight="false" outlineLevel="0" collapsed="false">
      <c r="B60" s="26" t="s">
        <v>283</v>
      </c>
      <c r="C60" s="88"/>
      <c r="D60" s="88"/>
      <c r="E60" s="88"/>
      <c r="F60" s="270" t="n">
        <f aca="false">-L56</f>
        <v>-283.9</v>
      </c>
      <c r="G60" s="88"/>
      <c r="H60" s="0" t="s">
        <v>284</v>
      </c>
      <c r="I60" s="88"/>
      <c r="J60" s="88"/>
      <c r="K60" s="88"/>
      <c r="L60" s="271" t="n">
        <f aca="false">F58</f>
        <v>181015.425279256</v>
      </c>
    </row>
    <row r="61" customFormat="false" ht="15" hidden="false" customHeight="false" outlineLevel="0" collapsed="false">
      <c r="B61" s="26" t="s">
        <v>285</v>
      </c>
      <c r="C61" s="88"/>
      <c r="D61" s="88"/>
      <c r="E61" s="88"/>
      <c r="F61" s="270" t="n">
        <f aca="false">-L62</f>
        <v>-36203.0850558512</v>
      </c>
      <c r="G61" s="88"/>
      <c r="H61" s="371" t="s">
        <v>286</v>
      </c>
      <c r="I61" s="88"/>
      <c r="J61" s="88"/>
      <c r="K61" s="88"/>
      <c r="L61" s="367" t="n">
        <v>0.2</v>
      </c>
    </row>
    <row r="62" customFormat="false" ht="15" hidden="false" customHeight="false" outlineLevel="0" collapsed="false">
      <c r="B62" s="26" t="s">
        <v>287</v>
      </c>
      <c r="F62" s="483" t="n">
        <v>0</v>
      </c>
      <c r="G62" s="88"/>
      <c r="H62" s="360" t="s">
        <v>288</v>
      </c>
      <c r="I62" s="88"/>
      <c r="J62" s="88"/>
      <c r="K62" s="88"/>
      <c r="L62" s="271" t="n">
        <f aca="false">L61*L60</f>
        <v>36203.0850558512</v>
      </c>
    </row>
    <row r="63" customFormat="false" ht="15" hidden="false" customHeight="false" outlineLevel="0" collapsed="false">
      <c r="B63" s="26" t="s">
        <v>289</v>
      </c>
      <c r="C63" s="88"/>
      <c r="D63" s="88"/>
      <c r="E63" s="88"/>
      <c r="F63" s="270" t="n">
        <f aca="false">L66</f>
        <v>10946.0955167554</v>
      </c>
      <c r="G63" s="88"/>
      <c r="H63" s="360" t="s">
        <v>290</v>
      </c>
      <c r="I63" s="88"/>
      <c r="J63" s="88"/>
      <c r="K63" s="88"/>
      <c r="L63" s="369" t="n">
        <v>5</v>
      </c>
    </row>
    <row r="64" customFormat="false" ht="15" hidden="false" customHeight="false" outlineLevel="0" collapsed="false">
      <c r="B64" s="80" t="s">
        <v>291</v>
      </c>
      <c r="C64" s="88"/>
      <c r="D64" s="88"/>
      <c r="E64" s="88"/>
      <c r="F64" s="370" t="n">
        <f aca="false">F58+F60+F61+F62+F63</f>
        <v>155474.53574016</v>
      </c>
      <c r="G64" s="88"/>
      <c r="H64" s="360"/>
      <c r="I64" s="88"/>
      <c r="J64" s="88"/>
      <c r="K64" s="88"/>
      <c r="L64" s="369"/>
    </row>
    <row r="65" customFormat="false" ht="15" hidden="false" customHeight="false" outlineLevel="0" collapsed="false">
      <c r="B65" s="7"/>
      <c r="C65" s="8"/>
      <c r="D65" s="8"/>
      <c r="E65" s="8"/>
      <c r="F65" s="8"/>
      <c r="G65" s="88"/>
      <c r="H65" s="8"/>
      <c r="I65" s="8"/>
      <c r="J65" s="8"/>
      <c r="K65" s="8"/>
      <c r="L65" s="9"/>
    </row>
    <row r="66" customFormat="false" ht="15" hidden="false" customHeight="false" outlineLevel="0" collapsed="false">
      <c r="B66" s="63" t="s">
        <v>406</v>
      </c>
      <c r="C66" s="45"/>
      <c r="D66" s="45"/>
      <c r="E66" s="45"/>
      <c r="F66" s="484" t="n">
        <v>5</v>
      </c>
      <c r="G66" s="92"/>
      <c r="H66" s="372" t="s">
        <v>292</v>
      </c>
      <c r="I66" s="92"/>
      <c r="J66" s="92"/>
      <c r="K66" s="92"/>
      <c r="L66" s="373" t="n">
        <f aca="false">(L62+L56)*Tax_Rate</f>
        <v>10946.0955167554</v>
      </c>
    </row>
    <row r="68" customFormat="false" ht="15" hidden="false" customHeight="false" outlineLevel="0" collapsed="false">
      <c r="B68" s="3" t="s">
        <v>42</v>
      </c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6"/>
    </row>
    <row r="69" customFormat="false" ht="15" hidden="false" customHeight="false" outlineLevel="0" collapsed="false"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9"/>
    </row>
    <row r="70" customFormat="false" ht="15" hidden="false" customHeight="false" outlineLevel="0" collapsed="false">
      <c r="B70" s="7" t="s">
        <v>360</v>
      </c>
      <c r="C70" s="8"/>
      <c r="D70" s="8"/>
      <c r="E70" s="8"/>
      <c r="F70" s="102" t="n">
        <f aca="false">'AAPL-3-Statements'!H99</f>
        <v>6559</v>
      </c>
      <c r="G70" s="8"/>
      <c r="H70" s="8"/>
      <c r="I70" s="8"/>
      <c r="J70" s="8"/>
      <c r="K70" s="8"/>
      <c r="L70" s="8"/>
      <c r="M70" s="8"/>
      <c r="N70" s="8"/>
      <c r="O70" s="8"/>
      <c r="P70" s="9"/>
    </row>
    <row r="71" customFormat="false" ht="15" hidden="false" customHeight="false" outlineLevel="0" collapsed="false">
      <c r="B71" s="7" t="s">
        <v>361</v>
      </c>
      <c r="C71" s="8"/>
      <c r="D71" s="8"/>
      <c r="E71" s="8"/>
      <c r="F71" s="30" t="n">
        <v>5000</v>
      </c>
      <c r="G71" s="8"/>
      <c r="H71" s="8"/>
      <c r="I71" s="8"/>
      <c r="J71" s="8"/>
      <c r="K71" s="8"/>
      <c r="L71" s="8"/>
      <c r="M71" s="8"/>
      <c r="N71" s="8"/>
      <c r="O71" s="8"/>
      <c r="P71" s="9"/>
    </row>
    <row r="72" customFormat="false" ht="15" hidden="false" customHeight="false" outlineLevel="0" collapsed="false"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9"/>
    </row>
    <row r="73" customFormat="false" ht="15" hidden="false" customHeight="false" outlineLevel="0" collapsed="false">
      <c r="B73" s="7"/>
      <c r="C73" s="8"/>
      <c r="D73" s="8"/>
      <c r="E73" s="8"/>
      <c r="F73" s="36" t="str">
        <f aca="false">'AAPL-3-Statements'!$F$22</f>
        <v>Historical</v>
      </c>
      <c r="G73" s="36"/>
      <c r="H73" s="36"/>
      <c r="I73" s="485" t="s">
        <v>407</v>
      </c>
      <c r="J73" s="485"/>
      <c r="K73" s="485"/>
      <c r="L73" s="37" t="str">
        <f aca="false">'AAPL-3-Statements'!$I$22</f>
        <v>Projections</v>
      </c>
      <c r="M73" s="37"/>
      <c r="N73" s="37"/>
      <c r="O73" s="37"/>
      <c r="P73" s="37"/>
    </row>
    <row r="74" customFormat="false" ht="15" hidden="false" customHeight="false" outlineLevel="0" collapsed="false">
      <c r="B74" s="7"/>
      <c r="C74" s="8"/>
      <c r="D74" s="8"/>
      <c r="E74" s="8"/>
      <c r="F74" s="38" t="str">
        <f aca="false">'AAPL-3-Statements'!F24</f>
        <v>FY 2007</v>
      </c>
      <c r="G74" s="38" t="str">
        <f aca="false">'AAPL-3-Statements'!$G$24</f>
        <v>FY 2008</v>
      </c>
      <c r="H74" s="39" t="str">
        <f aca="false">'AAPL-3-Statements'!H24</f>
        <v>FY 2009</v>
      </c>
      <c r="I74" s="38" t="s">
        <v>408</v>
      </c>
      <c r="J74" s="38" t="s">
        <v>409</v>
      </c>
      <c r="K74" s="39" t="str">
        <f aca="false">$H$74</f>
        <v>FY 2009</v>
      </c>
      <c r="L74" s="38" t="str">
        <f aca="false">'AAPL-3-Statements'!$I$24</f>
        <v>FY 2010E</v>
      </c>
      <c r="M74" s="38" t="str">
        <f aca="false">'AAPL-3-Statements'!$J$24</f>
        <v>FY 2011E</v>
      </c>
      <c r="N74" s="38" t="str">
        <f aca="false">'AAPL-3-Statements'!$K$24</f>
        <v>FY 2012E</v>
      </c>
      <c r="O74" s="38" t="str">
        <f aca="false">'AAPL-3-Statements'!$L$24</f>
        <v>FY 2013E</v>
      </c>
      <c r="P74" s="39" t="str">
        <f aca="false">'AAPL-3-Statements'!$M$24</f>
        <v>FY 2014E</v>
      </c>
    </row>
    <row r="75" customFormat="false" ht="15" hidden="false" customHeight="false" outlineLevel="0" collapsed="false">
      <c r="B75" s="7"/>
      <c r="C75" s="8"/>
      <c r="D75" s="8"/>
      <c r="E75" s="8"/>
      <c r="F75" s="8"/>
      <c r="G75" s="8"/>
      <c r="H75" s="9"/>
      <c r="I75" s="8"/>
      <c r="J75" s="8"/>
      <c r="K75" s="9"/>
      <c r="L75" s="8"/>
      <c r="M75" s="8"/>
      <c r="N75" s="8"/>
      <c r="O75" s="8"/>
      <c r="P75" s="9"/>
    </row>
    <row r="76" customFormat="false" ht="15" hidden="false" customHeight="false" outlineLevel="0" collapsed="false">
      <c r="B76" s="7" t="s">
        <v>43</v>
      </c>
      <c r="C76" s="8"/>
      <c r="D76" s="8"/>
      <c r="E76" s="8"/>
      <c r="F76" s="448" t="n">
        <f aca="false">'AAPL-3-Statements'!F39</f>
        <v>0.272482526533782</v>
      </c>
      <c r="G76" s="448" t="n">
        <f aca="false">'AAPL-3-Statements'!G39</f>
        <v>0.52538855887379</v>
      </c>
      <c r="H76" s="449" t="n">
        <f aca="false">'AAPL-3-Statements'!H39</f>
        <v>0.144407991251234</v>
      </c>
      <c r="I76" s="448"/>
      <c r="J76" s="448"/>
      <c r="K76" s="448"/>
      <c r="L76" s="450" t="n">
        <f aca="false">'AAPL-3-Statements'!I39</f>
        <v>0.25</v>
      </c>
      <c r="M76" s="448" t="n">
        <f aca="false">'AAPL-3-Statements'!J39</f>
        <v>0.17</v>
      </c>
      <c r="N76" s="448" t="n">
        <f aca="false">'AAPL-3-Statements'!K39</f>
        <v>0.11</v>
      </c>
      <c r="O76" s="448" t="n">
        <f aca="false">'AAPL-3-Statements'!L39</f>
        <v>0.09</v>
      </c>
      <c r="P76" s="449" t="n">
        <f aca="false">'AAPL-3-Statements'!M39</f>
        <v>0.07</v>
      </c>
    </row>
    <row r="77" customFormat="false" ht="15" hidden="false" customHeight="false" outlineLevel="0" collapsed="false">
      <c r="B77" s="7" t="s">
        <v>44</v>
      </c>
      <c r="C77" s="8"/>
      <c r="D77" s="8"/>
      <c r="E77" s="8"/>
      <c r="F77" s="448" t="n">
        <f aca="false">'AAPL-3-Statements'!F40</f>
        <v>0.662462364716413</v>
      </c>
      <c r="G77" s="448" t="n">
        <f aca="false">'AAPL-3-Statements'!G40</f>
        <v>0.641451726192064</v>
      </c>
      <c r="H77" s="449" t="n">
        <f aca="false">'AAPL-3-Statements'!H40</f>
        <v>0.590242007536029</v>
      </c>
      <c r="I77" s="448"/>
      <c r="J77" s="448"/>
      <c r="K77" s="448"/>
      <c r="L77" s="450" t="n">
        <f aca="false">'AAPL-3-Statements'!I40</f>
        <v>0.590242007536029</v>
      </c>
      <c r="M77" s="448" t="n">
        <f aca="false">'AAPL-3-Statements'!J40</f>
        <v>0.590242007536029</v>
      </c>
      <c r="N77" s="448" t="n">
        <f aca="false">'AAPL-3-Statements'!K40</f>
        <v>0.590242007536029</v>
      </c>
      <c r="O77" s="448" t="n">
        <f aca="false">'AAPL-3-Statements'!L40</f>
        <v>0.590242007536029</v>
      </c>
      <c r="P77" s="449" t="n">
        <f aca="false">'AAPL-3-Statements'!M40</f>
        <v>0.590242007536029</v>
      </c>
    </row>
    <row r="78" customFormat="false" ht="15" hidden="false" customHeight="false" outlineLevel="0" collapsed="false">
      <c r="B78" s="7" t="s">
        <v>45</v>
      </c>
      <c r="C78" s="8"/>
      <c r="D78" s="8"/>
      <c r="E78" s="8"/>
      <c r="F78" s="448" t="n">
        <f aca="false">'AAPL-3-Statements'!F41</f>
        <v>0.0242493286679144</v>
      </c>
      <c r="G78" s="448" t="n">
        <f aca="false">'AAPL-3-Statements'!G41</f>
        <v>0.0202359677433695</v>
      </c>
      <c r="H78" s="449" t="n">
        <f aca="false">'AAPL-3-Statements'!H41</f>
        <v>0.0193528337800567</v>
      </c>
      <c r="I78" s="448"/>
      <c r="J78" s="448"/>
      <c r="K78" s="448"/>
      <c r="L78" s="450" t="n">
        <f aca="false">'AAPL-3-Statements'!I41</f>
        <v>0.0193528337800567</v>
      </c>
      <c r="M78" s="448" t="n">
        <f aca="false">'AAPL-3-Statements'!J41</f>
        <v>0.0193528337800567</v>
      </c>
      <c r="N78" s="448" t="n">
        <f aca="false">'AAPL-3-Statements'!K41</f>
        <v>0.0193528337800567</v>
      </c>
      <c r="O78" s="448" t="n">
        <f aca="false">'AAPL-3-Statements'!L41</f>
        <v>0.0193528337800567</v>
      </c>
      <c r="P78" s="449" t="n">
        <f aca="false">'AAPL-3-Statements'!M41</f>
        <v>0.0193528337800567</v>
      </c>
    </row>
    <row r="79" customFormat="false" ht="15" hidden="false" customHeight="false" outlineLevel="0" collapsed="false">
      <c r="B79" s="7" t="s">
        <v>46</v>
      </c>
      <c r="C79" s="8"/>
      <c r="D79" s="8"/>
      <c r="E79" s="8"/>
      <c r="F79" s="448" t="n">
        <f aca="false">'AAPL-3-Statements'!F42</f>
        <v>0.110830824314428</v>
      </c>
      <c r="G79" s="448" t="n">
        <f aca="false">'AAPL-3-Statements'!G42</f>
        <v>0.089212522116419</v>
      </c>
      <c r="H79" s="449" t="n">
        <f aca="false">'AAPL-3-Statements'!H42</f>
        <v>0.083121625296197</v>
      </c>
      <c r="I79" s="448"/>
      <c r="J79" s="448"/>
      <c r="K79" s="448"/>
      <c r="L79" s="450" t="n">
        <f aca="false">'AAPL-3-Statements'!I42</f>
        <v>0.083121625296197</v>
      </c>
      <c r="M79" s="448" t="n">
        <f aca="false">'AAPL-3-Statements'!J42</f>
        <v>0.083121625296197</v>
      </c>
      <c r="N79" s="448" t="n">
        <f aca="false">'AAPL-3-Statements'!K42</f>
        <v>0.083121625296197</v>
      </c>
      <c r="O79" s="448" t="n">
        <f aca="false">'AAPL-3-Statements'!L42</f>
        <v>0.083121625296197</v>
      </c>
      <c r="P79" s="449" t="n">
        <f aca="false">'AAPL-3-Statements'!M42</f>
        <v>0.083121625296197</v>
      </c>
    </row>
    <row r="80" customFormat="false" ht="15" hidden="false" customHeight="false" outlineLevel="0" collapsed="false">
      <c r="B80" s="7"/>
      <c r="C80" s="8"/>
      <c r="D80" s="8"/>
      <c r="E80" s="8"/>
      <c r="F80" s="48"/>
      <c r="G80" s="48"/>
      <c r="H80" s="49"/>
      <c r="I80" s="48"/>
      <c r="J80" s="48"/>
      <c r="K80" s="48"/>
      <c r="L80" s="53"/>
      <c r="M80" s="48"/>
      <c r="N80" s="48"/>
      <c r="O80" s="48"/>
      <c r="P80" s="49"/>
    </row>
    <row r="81" customFormat="false" ht="15" hidden="false" customHeight="false" outlineLevel="0" collapsed="false">
      <c r="B81" s="7" t="s">
        <v>47</v>
      </c>
      <c r="C81" s="8"/>
      <c r="D81" s="8"/>
      <c r="E81" s="8"/>
      <c r="F81" s="448" t="n">
        <f aca="false">'AAPL-3-Statements'!F44</f>
        <v>0.00984620392220685</v>
      </c>
      <c r="G81" s="448" t="n">
        <f aca="false">'AAPL-3-Statements'!G44</f>
        <v>0.0137633031927663</v>
      </c>
      <c r="H81" s="449" t="n">
        <f aca="false">'AAPL-3-Statements'!H44</f>
        <v>0.0165481878568931</v>
      </c>
      <c r="I81" s="448"/>
      <c r="J81" s="448"/>
      <c r="K81" s="448"/>
      <c r="L81" s="450" t="n">
        <f aca="false">'AAPL-3-Statements'!I44</f>
        <v>0.0165481878568931</v>
      </c>
      <c r="M81" s="448" t="n">
        <f aca="false">'AAPL-3-Statements'!J44</f>
        <v>0.0165481878568931</v>
      </c>
      <c r="N81" s="448" t="n">
        <f aca="false">'AAPL-3-Statements'!K44</f>
        <v>0.0165481878568931</v>
      </c>
      <c r="O81" s="448" t="n">
        <f aca="false">'AAPL-3-Statements'!L44</f>
        <v>0.0165481878568931</v>
      </c>
      <c r="P81" s="449" t="n">
        <f aca="false">'AAPL-3-Statements'!M44</f>
        <v>0.0165481878568931</v>
      </c>
    </row>
    <row r="82" customFormat="false" ht="15" hidden="false" customHeight="false" outlineLevel="0" collapsed="false">
      <c r="B82" s="7" t="s">
        <v>48</v>
      </c>
      <c r="C82" s="8"/>
      <c r="D82" s="8"/>
      <c r="E82" s="8"/>
      <c r="F82" s="448" t="n">
        <f aca="false">'AAPL-3-Statements'!F45</f>
        <v>0.0133045813328993</v>
      </c>
      <c r="G82" s="448" t="n">
        <f aca="false">'AAPL-3-Statements'!G45</f>
        <v>0.0132298418287056</v>
      </c>
      <c r="H82" s="449" t="n">
        <f aca="false">'AAPL-3-Statements'!H45</f>
        <v>0.0171075632210698</v>
      </c>
      <c r="I82" s="448"/>
      <c r="J82" s="448"/>
      <c r="K82" s="448"/>
      <c r="L82" s="450" t="n">
        <f aca="false">'AAPL-3-Statements'!I45</f>
        <v>0.0171075632210698</v>
      </c>
      <c r="M82" s="448" t="n">
        <f aca="false">'AAPL-3-Statements'!J45</f>
        <v>0.0171075632210698</v>
      </c>
      <c r="N82" s="448" t="n">
        <f aca="false">'AAPL-3-Statements'!K45</f>
        <v>0.0171075632210698</v>
      </c>
      <c r="O82" s="448" t="n">
        <f aca="false">'AAPL-3-Statements'!L45</f>
        <v>0.0171075632210698</v>
      </c>
      <c r="P82" s="449" t="n">
        <f aca="false">'AAPL-3-Statements'!M45</f>
        <v>0.0171075632210698</v>
      </c>
    </row>
    <row r="83" customFormat="false" ht="15" hidden="false" customHeight="false" outlineLevel="0" collapsed="false">
      <c r="B83" s="7" t="s">
        <v>49</v>
      </c>
      <c r="C83" s="8"/>
      <c r="D83" s="8"/>
      <c r="E83" s="8"/>
      <c r="F83" s="448" t="n">
        <f aca="false">'AAPL-3-Statements'!F46</f>
        <v>0.0527</v>
      </c>
      <c r="G83" s="448" t="n">
        <f aca="false">'AAPL-3-Statements'!G46</f>
        <v>0.0344</v>
      </c>
      <c r="H83" s="449" t="n">
        <f aca="false">'AAPL-3-Statements'!H46</f>
        <v>0.0143</v>
      </c>
      <c r="I83" s="448"/>
      <c r="J83" s="448"/>
      <c r="K83" s="449"/>
      <c r="L83" s="448" t="n">
        <f aca="false">'AAPL-3-Statements'!I46</f>
        <v>0.01</v>
      </c>
      <c r="M83" s="448" t="n">
        <f aca="false">'AAPL-3-Statements'!J46</f>
        <v>0.01</v>
      </c>
      <c r="N83" s="448" t="n">
        <f aca="false">'AAPL-3-Statements'!K46</f>
        <v>0.02</v>
      </c>
      <c r="O83" s="448" t="n">
        <f aca="false">'AAPL-3-Statements'!L46</f>
        <v>0.02</v>
      </c>
      <c r="P83" s="449" t="n">
        <f aca="false">'AAPL-3-Statements'!M46</f>
        <v>0.03</v>
      </c>
    </row>
    <row r="84" customFormat="false" ht="15" hidden="false" customHeight="false" outlineLevel="0" collapsed="false">
      <c r="B84" s="7" t="s">
        <v>51</v>
      </c>
      <c r="C84" s="8"/>
      <c r="D84" s="8"/>
      <c r="E84" s="8"/>
      <c r="F84" s="448" t="n">
        <f aca="false">'AAPL-3-Statements'!F48</f>
        <v>0.301837794646424</v>
      </c>
      <c r="G84" s="448" t="n">
        <f aca="false">'AAPL-3-Statements'!G48</f>
        <v>0.316083603442495</v>
      </c>
      <c r="H84" s="449" t="n">
        <f aca="false">'AAPL-3-Statements'!H48</f>
        <v>0.317503729487817</v>
      </c>
      <c r="I84" s="448"/>
      <c r="J84" s="448"/>
      <c r="K84" s="448"/>
      <c r="L84" s="450" t="n">
        <f aca="false">'AAPL-3-Statements'!I48</f>
        <v>0.3</v>
      </c>
      <c r="M84" s="448" t="n">
        <f aca="false">'AAPL-3-Statements'!J48</f>
        <v>0.3</v>
      </c>
      <c r="N84" s="448" t="n">
        <f aca="false">'AAPL-3-Statements'!K48</f>
        <v>0.3</v>
      </c>
      <c r="O84" s="448" t="n">
        <f aca="false">'AAPL-3-Statements'!L48</f>
        <v>0.3</v>
      </c>
      <c r="P84" s="449" t="n">
        <f aca="false">'AAPL-3-Statements'!M48</f>
        <v>0.3</v>
      </c>
    </row>
    <row r="85" customFormat="false" ht="15" hidden="false" customHeight="false" outlineLevel="0" collapsed="false">
      <c r="B85" s="7"/>
      <c r="C85" s="8"/>
      <c r="D85" s="8"/>
      <c r="E85" s="8"/>
      <c r="F85" s="448"/>
      <c r="G85" s="448"/>
      <c r="H85" s="449"/>
      <c r="I85" s="448"/>
      <c r="J85" s="448"/>
      <c r="K85" s="448"/>
      <c r="L85" s="450"/>
      <c r="M85" s="448"/>
      <c r="N85" s="448"/>
      <c r="O85" s="448"/>
      <c r="P85" s="449"/>
    </row>
    <row r="86" customFormat="false" ht="15" hidden="false" customHeight="false" outlineLevel="0" collapsed="false">
      <c r="B86" s="7" t="s">
        <v>52</v>
      </c>
      <c r="C86" s="8"/>
      <c r="D86" s="8"/>
      <c r="E86" s="8"/>
      <c r="F86" s="448"/>
      <c r="G86" s="448" t="n">
        <f aca="false">'AAPL-3-Statements'!G50</f>
        <v>0.0646021711877517</v>
      </c>
      <c r="H86" s="449" t="n">
        <f aca="false">'AAPL-3-Statements'!H50</f>
        <v>0.0783358582915744</v>
      </c>
      <c r="I86" s="448"/>
      <c r="J86" s="448"/>
      <c r="K86" s="448"/>
      <c r="L86" s="450" t="n">
        <f aca="false">'AAPL-3-Statements'!I50</f>
        <v>0.0783358582915744</v>
      </c>
      <c r="M86" s="448" t="n">
        <f aca="false">'AAPL-3-Statements'!J50</f>
        <v>0.0783358582915744</v>
      </c>
      <c r="N86" s="448" t="n">
        <f aca="false">'AAPL-3-Statements'!K50</f>
        <v>0.0783358582915744</v>
      </c>
      <c r="O86" s="448" t="n">
        <f aca="false">'AAPL-3-Statements'!L50</f>
        <v>0.0783358582915744</v>
      </c>
      <c r="P86" s="449" t="n">
        <f aca="false">'AAPL-3-Statements'!M50</f>
        <v>0.0783358582915744</v>
      </c>
    </row>
    <row r="87" customFormat="false" ht="15" hidden="false" customHeight="false" outlineLevel="0" collapsed="false">
      <c r="B87" s="7" t="s">
        <v>53</v>
      </c>
      <c r="C87" s="8"/>
      <c r="D87" s="8"/>
      <c r="E87" s="8"/>
      <c r="F87" s="448"/>
      <c r="G87" s="486" t="n">
        <f aca="false">'AAPL-3-Statements'!G51</f>
        <v>23.2567816275906</v>
      </c>
      <c r="H87" s="487" t="n">
        <f aca="false">'AAPL-3-Statements'!H51</f>
        <v>28.2009089849668</v>
      </c>
      <c r="I87" s="448"/>
      <c r="J87" s="448"/>
      <c r="K87" s="448"/>
      <c r="L87" s="488" t="n">
        <f aca="false">'AAPL-3-Statements'!I51</f>
        <v>28.2009089849668</v>
      </c>
      <c r="M87" s="486" t="n">
        <f aca="false">'AAPL-3-Statements'!J51</f>
        <v>28.2009089849668</v>
      </c>
      <c r="N87" s="486" t="n">
        <f aca="false">'AAPL-3-Statements'!K51</f>
        <v>28.2009089849668</v>
      </c>
      <c r="O87" s="486" t="n">
        <f aca="false">'AAPL-3-Statements'!L51</f>
        <v>28.2009089849668</v>
      </c>
      <c r="P87" s="487" t="n">
        <f aca="false">'AAPL-3-Statements'!M51</f>
        <v>28.2009089849668</v>
      </c>
    </row>
    <row r="88" customFormat="false" ht="15" hidden="false" customHeight="false" outlineLevel="0" collapsed="false">
      <c r="B88" s="7" t="s">
        <v>54</v>
      </c>
      <c r="C88" s="8"/>
      <c r="D88" s="8"/>
      <c r="E88" s="8"/>
      <c r="F88" s="448"/>
      <c r="G88" s="448" t="n">
        <f aca="false">'AAPL-3-Statements'!G52</f>
        <v>0.0211654145759987</v>
      </c>
      <c r="H88" s="449" t="n">
        <f aca="false">'AAPL-3-Statements'!H52</f>
        <v>0.0179669092967238</v>
      </c>
      <c r="I88" s="448"/>
      <c r="J88" s="448"/>
      <c r="K88" s="448"/>
      <c r="L88" s="450" t="n">
        <f aca="false">'AAPL-3-Statements'!I52</f>
        <v>0.0179669092967238</v>
      </c>
      <c r="M88" s="448" t="n">
        <f aca="false">'AAPL-3-Statements'!J52</f>
        <v>0.0179669092967238</v>
      </c>
      <c r="N88" s="448" t="n">
        <f aca="false">'AAPL-3-Statements'!K52</f>
        <v>0.0179669092967238</v>
      </c>
      <c r="O88" s="448" t="n">
        <f aca="false">'AAPL-3-Statements'!L52</f>
        <v>0.0179669092967238</v>
      </c>
      <c r="P88" s="449" t="n">
        <f aca="false">'AAPL-3-Statements'!M52</f>
        <v>0.0179669092967238</v>
      </c>
    </row>
    <row r="89" customFormat="false" ht="15" hidden="false" customHeight="false" outlineLevel="0" collapsed="false">
      <c r="B89" s="7" t="s">
        <v>55</v>
      </c>
      <c r="C89" s="8"/>
      <c r="D89" s="8"/>
      <c r="E89" s="8"/>
      <c r="F89" s="448"/>
      <c r="G89" s="448"/>
      <c r="H89" s="449"/>
      <c r="I89" s="448"/>
      <c r="J89" s="448"/>
      <c r="K89" s="448"/>
      <c r="L89" s="489" t="n">
        <f aca="false">'AAPL-3-Statements'!I53</f>
        <v>40</v>
      </c>
      <c r="M89" s="102" t="n">
        <f aca="false">'AAPL-3-Statements'!J53</f>
        <v>37</v>
      </c>
      <c r="N89" s="102" t="n">
        <f aca="false">'AAPL-3-Statements'!K53</f>
        <v>28</v>
      </c>
      <c r="O89" s="102" t="n">
        <f aca="false">'AAPL-3-Statements'!L53</f>
        <v>13</v>
      </c>
      <c r="P89" s="356" t="n">
        <f aca="false">'AAPL-3-Statements'!M53</f>
        <v>10</v>
      </c>
    </row>
    <row r="90" customFormat="false" ht="15" hidden="false" customHeight="false" outlineLevel="0" collapsed="false">
      <c r="B90" s="7"/>
      <c r="C90" s="8"/>
      <c r="D90" s="8"/>
      <c r="E90" s="8"/>
      <c r="F90" s="448"/>
      <c r="G90" s="448"/>
      <c r="H90" s="449"/>
      <c r="I90" s="448"/>
      <c r="J90" s="448"/>
      <c r="K90" s="448"/>
      <c r="L90" s="450"/>
      <c r="M90" s="448"/>
      <c r="N90" s="448"/>
      <c r="O90" s="448"/>
      <c r="P90" s="449"/>
    </row>
    <row r="91" customFormat="false" ht="15" hidden="false" customHeight="false" outlineLevel="0" collapsed="false">
      <c r="B91" s="7" t="s">
        <v>56</v>
      </c>
      <c r="C91" s="8"/>
      <c r="D91" s="8"/>
      <c r="E91" s="8"/>
      <c r="F91" s="448"/>
      <c r="G91" s="448" t="n">
        <f aca="false">'AAPL-3-Statements'!G55</f>
        <v>0.22953455493028</v>
      </c>
      <c r="H91" s="449" t="n">
        <f aca="false">'AAPL-3-Statements'!H55</f>
        <v>0.221170679057033</v>
      </c>
      <c r="I91" s="448"/>
      <c r="J91" s="448"/>
      <c r="K91" s="448"/>
      <c r="L91" s="450" t="n">
        <f aca="false">'AAPL-3-Statements'!I55</f>
        <v>0.221170679057033</v>
      </c>
      <c r="M91" s="448" t="n">
        <f aca="false">'AAPL-3-Statements'!J55</f>
        <v>0.221170679057033</v>
      </c>
      <c r="N91" s="448" t="n">
        <f aca="false">'AAPL-3-Statements'!K55</f>
        <v>0.221170679057033</v>
      </c>
      <c r="O91" s="448" t="n">
        <f aca="false">'AAPL-3-Statements'!L55</f>
        <v>0.221170679057033</v>
      </c>
      <c r="P91" s="449" t="n">
        <f aca="false">'AAPL-3-Statements'!M55</f>
        <v>0.221170679057033</v>
      </c>
    </row>
    <row r="92" customFormat="false" ht="15" hidden="false" customHeight="false" outlineLevel="0" collapsed="false">
      <c r="B92" s="7" t="s">
        <v>57</v>
      </c>
      <c r="C92" s="8"/>
      <c r="D92" s="8"/>
      <c r="E92" s="8"/>
      <c r="F92" s="448"/>
      <c r="G92" s="486" t="n">
        <f aca="false">'AAPL-3-Statements'!G56</f>
        <v>82.6324397749009</v>
      </c>
      <c r="H92" s="487" t="n">
        <f aca="false">'AAPL-3-Statements'!H56</f>
        <v>79.621444460532</v>
      </c>
      <c r="I92" s="448"/>
      <c r="J92" s="448"/>
      <c r="K92" s="448"/>
      <c r="L92" s="488" t="n">
        <f aca="false">'AAPL-3-Statements'!I56</f>
        <v>79.621444460532</v>
      </c>
      <c r="M92" s="486" t="n">
        <f aca="false">'AAPL-3-Statements'!J56</f>
        <v>79.621444460532</v>
      </c>
      <c r="N92" s="486" t="n">
        <f aca="false">'AAPL-3-Statements'!K56</f>
        <v>79.621444460532</v>
      </c>
      <c r="O92" s="486" t="n">
        <f aca="false">'AAPL-3-Statements'!L56</f>
        <v>79.621444460532</v>
      </c>
      <c r="P92" s="487" t="n">
        <f aca="false">'AAPL-3-Statements'!M56</f>
        <v>79.621444460532</v>
      </c>
    </row>
    <row r="93" customFormat="false" ht="15" hidden="false" customHeight="false" outlineLevel="0" collapsed="false">
      <c r="B93" s="7" t="s">
        <v>58</v>
      </c>
      <c r="C93" s="8"/>
      <c r="D93" s="8"/>
      <c r="E93" s="8"/>
      <c r="F93" s="448"/>
      <c r="G93" s="448" t="n">
        <f aca="false">'AAPL-3-Statements'!G57</f>
        <v>1.02940698619009</v>
      </c>
      <c r="H93" s="449" t="n">
        <f aca="false">'AAPL-3-Statements'!H57</f>
        <v>0.876118271417741</v>
      </c>
      <c r="I93" s="448"/>
      <c r="J93" s="448"/>
      <c r="K93" s="448"/>
      <c r="L93" s="450" t="n">
        <f aca="false">'AAPL-3-Statements'!I57</f>
        <v>0.876118271417741</v>
      </c>
      <c r="M93" s="448" t="n">
        <f aca="false">'AAPL-3-Statements'!J57</f>
        <v>0.876118271417741</v>
      </c>
      <c r="N93" s="448" t="n">
        <f aca="false">'AAPL-3-Statements'!K57</f>
        <v>0.876118271417741</v>
      </c>
      <c r="O93" s="448" t="n">
        <f aca="false">'AAPL-3-Statements'!L57</f>
        <v>0.876118271417741</v>
      </c>
      <c r="P93" s="449" t="n">
        <f aca="false">'AAPL-3-Statements'!M57</f>
        <v>0.876118271417741</v>
      </c>
    </row>
    <row r="94" customFormat="false" ht="15" hidden="false" customHeight="false" outlineLevel="0" collapsed="false">
      <c r="B94" s="7" t="s">
        <v>59</v>
      </c>
      <c r="C94" s="8"/>
      <c r="D94" s="8"/>
      <c r="E94" s="8"/>
      <c r="F94" s="448"/>
      <c r="G94" s="448" t="n">
        <f aca="false">'AAPL-3-Statements'!G58</f>
        <v>0.0431303512843082</v>
      </c>
      <c r="H94" s="449" t="n">
        <f aca="false">'AAPL-3-Statements'!H58</f>
        <v>0.0478499009439459</v>
      </c>
      <c r="I94" s="448"/>
      <c r="J94" s="448"/>
      <c r="K94" s="448"/>
      <c r="L94" s="450" t="n">
        <f aca="false">'AAPL-3-Statements'!I58</f>
        <v>0.0478499009439459</v>
      </c>
      <c r="M94" s="448" t="n">
        <f aca="false">'AAPL-3-Statements'!J58</f>
        <v>0.0478499009439459</v>
      </c>
      <c r="N94" s="448" t="n">
        <f aca="false">'AAPL-3-Statements'!K58</f>
        <v>0.0478499009439459</v>
      </c>
      <c r="O94" s="448" t="n">
        <f aca="false">'AAPL-3-Statements'!L58</f>
        <v>0.0478499009439459</v>
      </c>
      <c r="P94" s="449" t="n">
        <f aca="false">'AAPL-3-Statements'!M58</f>
        <v>0.0478499009439459</v>
      </c>
    </row>
    <row r="95" customFormat="false" ht="15" hidden="false" customHeight="false" outlineLevel="0" collapsed="false">
      <c r="B95" s="7" t="s">
        <v>60</v>
      </c>
      <c r="C95" s="8"/>
      <c r="D95" s="8"/>
      <c r="E95" s="8"/>
      <c r="F95" s="448"/>
      <c r="G95" s="448" t="n">
        <f aca="false">'AAPL-3-Statements'!G59</f>
        <v>0.0204849163799312</v>
      </c>
      <c r="H95" s="449" t="n">
        <f aca="false">'AAPL-3-Statements'!H59</f>
        <v>0.0198811327351125</v>
      </c>
      <c r="I95" s="448"/>
      <c r="J95" s="448"/>
      <c r="K95" s="448"/>
      <c r="L95" s="450" t="n">
        <f aca="false">'AAPL-3-Statements'!I59</f>
        <v>0.0198811327351125</v>
      </c>
      <c r="M95" s="448" t="n">
        <f aca="false">'AAPL-3-Statements'!J59</f>
        <v>0.0198811327351125</v>
      </c>
      <c r="N95" s="448" t="n">
        <f aca="false">'AAPL-3-Statements'!K59</f>
        <v>0.0198811327351125</v>
      </c>
      <c r="O95" s="448" t="n">
        <f aca="false">'AAPL-3-Statements'!L59</f>
        <v>0.0198811327351125</v>
      </c>
      <c r="P95" s="449" t="n">
        <f aca="false">'AAPL-3-Statements'!M59</f>
        <v>0.0198811327351125</v>
      </c>
    </row>
    <row r="96" customFormat="false" ht="15" hidden="false" customHeight="false" outlineLevel="0" collapsed="false">
      <c r="B96" s="7"/>
      <c r="C96" s="8"/>
      <c r="D96" s="8"/>
      <c r="E96" s="8"/>
      <c r="F96" s="448"/>
      <c r="G96" s="448"/>
      <c r="H96" s="449"/>
      <c r="I96" s="448"/>
      <c r="J96" s="448"/>
      <c r="K96" s="448"/>
      <c r="L96" s="450"/>
      <c r="M96" s="448"/>
      <c r="N96" s="448"/>
      <c r="O96" s="448"/>
      <c r="P96" s="449"/>
    </row>
    <row r="97" customFormat="false" ht="15" hidden="false" customHeight="false" outlineLevel="0" collapsed="false">
      <c r="B97" s="63" t="s">
        <v>61</v>
      </c>
      <c r="C97" s="45"/>
      <c r="D97" s="45"/>
      <c r="E97" s="45"/>
      <c r="F97" s="451" t="n">
        <f aca="false">'AAPL-3-Statements'!F61</f>
        <v>0.0299047929042233</v>
      </c>
      <c r="G97" s="451" t="n">
        <f aca="false">'AAPL-3-Statements'!G61</f>
        <v>0.0291003174095116</v>
      </c>
      <c r="H97" s="452" t="n">
        <f aca="false">'AAPL-3-Statements'!H61</f>
        <v>0.0266635590257546</v>
      </c>
      <c r="I97" s="451"/>
      <c r="J97" s="451"/>
      <c r="K97" s="451"/>
      <c r="L97" s="453" t="n">
        <f aca="false">'AAPL-3-Statements'!I61</f>
        <v>0.0266635590257546</v>
      </c>
      <c r="M97" s="451" t="n">
        <f aca="false">'AAPL-3-Statements'!J61</f>
        <v>0.0266635590257546</v>
      </c>
      <c r="N97" s="451" t="n">
        <f aca="false">'AAPL-3-Statements'!K61</f>
        <v>0.0266635590257546</v>
      </c>
      <c r="O97" s="451" t="n">
        <f aca="false">'AAPL-3-Statements'!L61</f>
        <v>0.0266635590257546</v>
      </c>
      <c r="P97" s="452" t="n">
        <f aca="false">'AAPL-3-Statements'!M61</f>
        <v>0.0266635590257546</v>
      </c>
    </row>
    <row r="99" customFormat="false" ht="15" hidden="false" customHeight="false" outlineLevel="0" collapsed="false">
      <c r="B99" s="3" t="s">
        <v>62</v>
      </c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6"/>
    </row>
    <row r="100" customFormat="false" ht="15" hidden="false" customHeight="false" outlineLevel="0" collapsed="false">
      <c r="B100" s="7"/>
      <c r="C100" s="8"/>
      <c r="F100" s="490" t="str">
        <f aca="false">$F$73</f>
        <v>Historical</v>
      </c>
      <c r="G100" s="490"/>
      <c r="H100" s="490"/>
      <c r="I100" s="491" t="str">
        <f aca="false">$I$73</f>
        <v>Transaction Adjustments</v>
      </c>
      <c r="J100" s="491"/>
      <c r="K100" s="491"/>
      <c r="L100" s="492" t="str">
        <f aca="false">$L$73</f>
        <v>Projections</v>
      </c>
      <c r="M100" s="492"/>
      <c r="N100" s="492"/>
      <c r="O100" s="492"/>
      <c r="P100" s="492"/>
    </row>
    <row r="101" customFormat="false" ht="15" hidden="false" customHeight="false" outlineLevel="0" collapsed="false">
      <c r="B101" s="7"/>
      <c r="C101" s="8"/>
      <c r="F101" s="38" t="str">
        <f aca="false">$F$74</f>
        <v>FY 2007</v>
      </c>
      <c r="G101" s="38" t="str">
        <f aca="false">$G$74</f>
        <v>FY 2008</v>
      </c>
      <c r="H101" s="39" t="str">
        <f aca="false">$H$74</f>
        <v>FY 2009</v>
      </c>
      <c r="I101" s="38" t="str">
        <f aca="false">$I$74</f>
        <v>Debit</v>
      </c>
      <c r="J101" s="38" t="str">
        <f aca="false">$J$74</f>
        <v>Credit</v>
      </c>
      <c r="K101" s="38" t="str">
        <f aca="false">$K$74</f>
        <v>FY 2009</v>
      </c>
      <c r="L101" s="493" t="str">
        <f aca="false">$L$74</f>
        <v>FY 2010E</v>
      </c>
      <c r="M101" s="38" t="str">
        <f aca="false">$M$74</f>
        <v>FY 2011E</v>
      </c>
      <c r="N101" s="38" t="str">
        <f aca="false">$N$74</f>
        <v>FY 2012E</v>
      </c>
      <c r="O101" s="38" t="str">
        <f aca="false">$O$74</f>
        <v>FY 2013E</v>
      </c>
      <c r="P101" s="39" t="str">
        <f aca="false">$P$74</f>
        <v>FY 2014E</v>
      </c>
    </row>
    <row r="102" customFormat="false" ht="15" hidden="false" customHeight="false" outlineLevel="0" collapsed="false">
      <c r="B102" s="7"/>
      <c r="C102" s="8"/>
      <c r="H102" s="67"/>
      <c r="I102" s="494"/>
      <c r="J102" s="494"/>
      <c r="K102" s="494"/>
      <c r="L102" s="7"/>
      <c r="P102" s="67"/>
    </row>
    <row r="103" customFormat="false" ht="15" hidden="false" customHeight="false" outlineLevel="0" collapsed="false">
      <c r="B103" s="10" t="s">
        <v>63</v>
      </c>
      <c r="F103" s="100" t="n">
        <f aca="false">'AAPL-3-Statements'!F66</f>
        <v>24578</v>
      </c>
      <c r="G103" s="100" t="n">
        <f aca="false">'AAPL-3-Statements'!G66</f>
        <v>37491</v>
      </c>
      <c r="H103" s="101" t="n">
        <f aca="false">'AAPL-3-Statements'!H66</f>
        <v>42905</v>
      </c>
      <c r="I103" s="100"/>
      <c r="J103" s="100"/>
      <c r="K103" s="100"/>
      <c r="L103" s="123" t="n">
        <f aca="false">H103*(1+L76)</f>
        <v>53631.25</v>
      </c>
      <c r="M103" s="70" t="n">
        <f aca="false">L103*(1+M76)</f>
        <v>62748.5625</v>
      </c>
      <c r="N103" s="70" t="n">
        <f aca="false">M103*(1+N76)</f>
        <v>69650.904375</v>
      </c>
      <c r="O103" s="70" t="n">
        <f aca="false">N103*(1+O76)</f>
        <v>75919.48576875</v>
      </c>
      <c r="P103" s="71" t="n">
        <f aca="false">O103*(1+P76)</f>
        <v>81233.8497725625</v>
      </c>
    </row>
    <row r="104" customFormat="false" ht="15" hidden="false" customHeight="false" outlineLevel="0" collapsed="false">
      <c r="B104" s="7" t="s">
        <v>64</v>
      </c>
      <c r="F104" s="102" t="n">
        <f aca="false">'AAPL-3-Statements'!F67</f>
        <v>16282</v>
      </c>
      <c r="G104" s="102" t="n">
        <f aca="false">'AAPL-3-Statements'!G67</f>
        <v>24048.6666666667</v>
      </c>
      <c r="H104" s="356" t="n">
        <f aca="false">'AAPL-3-Statements'!H67</f>
        <v>25324.3333333333</v>
      </c>
      <c r="I104" s="102"/>
      <c r="J104" s="102"/>
      <c r="K104" s="102"/>
      <c r="L104" s="124" t="n">
        <f aca="false">L103*L77</f>
        <v>31655.4166666667</v>
      </c>
      <c r="M104" s="20" t="n">
        <f aca="false">M103*M77</f>
        <v>37036.8375</v>
      </c>
      <c r="N104" s="20" t="n">
        <f aca="false">N103*N77</f>
        <v>41110.889625</v>
      </c>
      <c r="O104" s="20" t="n">
        <f aca="false">O103*O77</f>
        <v>44810.86969125</v>
      </c>
      <c r="P104" s="73" t="n">
        <f aca="false">P103*P77</f>
        <v>47947.6305696375</v>
      </c>
    </row>
    <row r="105" customFormat="false" ht="15" hidden="false" customHeight="false" outlineLevel="0" collapsed="false">
      <c r="B105" s="74" t="s">
        <v>65</v>
      </c>
      <c r="F105" s="75" t="n">
        <f aca="false">F103-F104</f>
        <v>8296</v>
      </c>
      <c r="G105" s="75" t="n">
        <f aca="false">G103-G104</f>
        <v>13442.3333333333</v>
      </c>
      <c r="H105" s="76" t="n">
        <f aca="false">H103-H104</f>
        <v>17580.6666666667</v>
      </c>
      <c r="I105" s="75"/>
      <c r="J105" s="75"/>
      <c r="K105" s="75"/>
      <c r="L105" s="77" t="n">
        <f aca="false">L103-L104</f>
        <v>21975.8333333333</v>
      </c>
      <c r="M105" s="75" t="n">
        <f aca="false">M103-M104</f>
        <v>25711.725</v>
      </c>
      <c r="N105" s="75" t="n">
        <f aca="false">N103-N104</f>
        <v>28540.01475</v>
      </c>
      <c r="O105" s="75" t="n">
        <f aca="false">O103-O104</f>
        <v>31108.6160775</v>
      </c>
      <c r="P105" s="76" t="n">
        <f aca="false">P103-P104</f>
        <v>33286.219202925</v>
      </c>
    </row>
    <row r="106" customFormat="false" ht="15" hidden="false" customHeight="false" outlineLevel="0" collapsed="false">
      <c r="B106" s="7" t="s">
        <v>66</v>
      </c>
      <c r="F106" s="8"/>
      <c r="G106" s="8"/>
      <c r="H106" s="9"/>
      <c r="I106" s="8"/>
      <c r="J106" s="8"/>
      <c r="K106" s="8"/>
      <c r="L106" s="7"/>
      <c r="M106" s="8"/>
      <c r="N106" s="8"/>
      <c r="O106" s="8"/>
      <c r="P106" s="9"/>
    </row>
    <row r="107" customFormat="false" ht="15" hidden="false" customHeight="false" outlineLevel="0" collapsed="false">
      <c r="B107" s="26" t="s">
        <v>67</v>
      </c>
      <c r="F107" s="102" t="n">
        <f aca="false">'AAPL-3-Statements'!F70</f>
        <v>596</v>
      </c>
      <c r="G107" s="102" t="n">
        <f aca="false">'AAPL-3-Statements'!G70</f>
        <v>758.666666666667</v>
      </c>
      <c r="H107" s="356" t="n">
        <f aca="false">'AAPL-3-Statements'!H70</f>
        <v>830.333333333333</v>
      </c>
      <c r="I107" s="102"/>
      <c r="J107" s="102"/>
      <c r="K107" s="102"/>
      <c r="L107" s="124" t="n">
        <f aca="false">L103*L78</f>
        <v>1037.91666666667</v>
      </c>
      <c r="M107" s="20" t="n">
        <f aca="false">M103*M78</f>
        <v>1214.3625</v>
      </c>
      <c r="N107" s="20" t="n">
        <f aca="false">N103*N78</f>
        <v>1347.942375</v>
      </c>
      <c r="O107" s="20" t="n">
        <f aca="false">O103*O78</f>
        <v>1469.25718875</v>
      </c>
      <c r="P107" s="73" t="n">
        <f aca="false">P103*P78</f>
        <v>1572.1051919625</v>
      </c>
    </row>
    <row r="108" customFormat="false" ht="15" hidden="false" customHeight="false" outlineLevel="0" collapsed="false">
      <c r="B108" s="26" t="s">
        <v>68</v>
      </c>
      <c r="F108" s="102" t="n">
        <f aca="false">'AAPL-3-Statements'!F71</f>
        <v>2724</v>
      </c>
      <c r="G108" s="102" t="n">
        <f aca="false">'AAPL-3-Statements'!G71</f>
        <v>3344.66666666667</v>
      </c>
      <c r="H108" s="356" t="n">
        <f aca="false">'AAPL-3-Statements'!H71</f>
        <v>3566.33333333333</v>
      </c>
      <c r="I108" s="102"/>
      <c r="J108" s="102"/>
      <c r="K108" s="102"/>
      <c r="L108" s="124" t="n">
        <f aca="false">L103*L79</f>
        <v>4457.91666666667</v>
      </c>
      <c r="M108" s="20" t="n">
        <f aca="false">M103*M79</f>
        <v>5215.7625</v>
      </c>
      <c r="N108" s="20" t="n">
        <f aca="false">N103*N79</f>
        <v>5789.496375</v>
      </c>
      <c r="O108" s="20" t="n">
        <f aca="false">O103*O79</f>
        <v>6310.55104875</v>
      </c>
      <c r="P108" s="73" t="n">
        <f aca="false">P103*P79</f>
        <v>6752.2896221625</v>
      </c>
    </row>
    <row r="109" customFormat="false" ht="15" hidden="false" customHeight="false" outlineLevel="0" collapsed="false">
      <c r="B109" s="78" t="s">
        <v>69</v>
      </c>
      <c r="C109" s="34"/>
      <c r="D109" s="34"/>
      <c r="E109" s="34"/>
      <c r="F109" s="32" t="n">
        <f aca="false">SUM(F107:F108)</f>
        <v>3320</v>
      </c>
      <c r="G109" s="32" t="n">
        <f aca="false">SUM(G107:G108)</f>
        <v>4103.33333333333</v>
      </c>
      <c r="H109" s="79" t="n">
        <f aca="false">SUM(H107:H108)</f>
        <v>4396.66666666667</v>
      </c>
      <c r="I109" s="32"/>
      <c r="J109" s="32"/>
      <c r="K109" s="32"/>
      <c r="L109" s="129" t="n">
        <f aca="false">SUM(L107:L108)</f>
        <v>5495.83333333333</v>
      </c>
      <c r="M109" s="32" t="n">
        <f aca="false">SUM(M107:M108)</f>
        <v>6430.125</v>
      </c>
      <c r="N109" s="32" t="n">
        <f aca="false">SUM(N107:N108)</f>
        <v>7137.43875</v>
      </c>
      <c r="O109" s="32" t="n">
        <f aca="false">SUM(O107:O108)</f>
        <v>7779.8082375</v>
      </c>
      <c r="P109" s="79" t="n">
        <f aca="false">SUM(P107:P108)</f>
        <v>8324.394814125</v>
      </c>
    </row>
    <row r="110" customFormat="false" ht="15" hidden="false" customHeight="false" outlineLevel="0" collapsed="false">
      <c r="B110" s="80"/>
      <c r="C110" s="8"/>
      <c r="D110" s="8"/>
      <c r="F110" s="81"/>
      <c r="G110" s="81"/>
      <c r="H110" s="82"/>
      <c r="I110" s="81"/>
      <c r="J110" s="81"/>
      <c r="K110" s="81"/>
      <c r="L110" s="495"/>
      <c r="M110" s="81"/>
      <c r="N110" s="81"/>
      <c r="O110" s="81"/>
      <c r="P110" s="82"/>
    </row>
    <row r="111" customFormat="false" ht="15" hidden="false" customHeight="false" outlineLevel="0" collapsed="false">
      <c r="B111" s="26" t="s">
        <v>70</v>
      </c>
      <c r="C111" s="8"/>
      <c r="D111" s="8"/>
      <c r="F111" s="102" t="n">
        <f aca="false">'AAPL-3-Statements'!F74</f>
        <v>327</v>
      </c>
      <c r="G111" s="102" t="n">
        <f aca="false">'AAPL-3-Statements'!G74</f>
        <v>496</v>
      </c>
      <c r="H111" s="356" t="n">
        <f aca="false">'AAPL-3-Statements'!H74</f>
        <v>734</v>
      </c>
      <c r="I111" s="102"/>
      <c r="J111" s="102"/>
      <c r="K111" s="102"/>
      <c r="L111" s="124" t="n">
        <f aca="false">L103*L82</f>
        <v>917.5</v>
      </c>
      <c r="M111" s="20" t="n">
        <f aca="false">M103*M82</f>
        <v>1073.475</v>
      </c>
      <c r="N111" s="20" t="n">
        <f aca="false">N103*N82</f>
        <v>1191.55725</v>
      </c>
      <c r="O111" s="20" t="n">
        <f aca="false">O103*O82</f>
        <v>1298.7974025</v>
      </c>
      <c r="P111" s="73" t="n">
        <f aca="false">P103*P82</f>
        <v>1389.713220675</v>
      </c>
    </row>
    <row r="112" customFormat="false" ht="15" hidden="false" customHeight="false" outlineLevel="0" collapsed="false">
      <c r="B112" s="396" t="s">
        <v>410</v>
      </c>
      <c r="C112" s="34"/>
      <c r="D112" s="34"/>
      <c r="E112" s="34"/>
      <c r="F112" s="496"/>
      <c r="G112" s="496"/>
      <c r="H112" s="497"/>
      <c r="I112" s="496"/>
      <c r="J112" s="496"/>
      <c r="K112" s="496"/>
      <c r="L112" s="498"/>
      <c r="M112" s="499"/>
      <c r="N112" s="499"/>
      <c r="O112" s="499"/>
      <c r="P112" s="500"/>
    </row>
    <row r="113" customFormat="false" ht="15" hidden="false" customHeight="false" outlineLevel="0" collapsed="false">
      <c r="B113" s="26" t="s">
        <v>411</v>
      </c>
      <c r="C113" s="8"/>
      <c r="D113" s="8"/>
      <c r="E113" s="8"/>
      <c r="F113" s="102"/>
      <c r="G113" s="102"/>
      <c r="H113" s="356"/>
      <c r="I113" s="102"/>
      <c r="J113" s="102"/>
      <c r="K113" s="102"/>
      <c r="L113" s="124"/>
      <c r="M113" s="20"/>
      <c r="N113" s="20"/>
      <c r="O113" s="20"/>
      <c r="P113" s="73"/>
    </row>
    <row r="114" customFormat="false" ht="15" hidden="false" customHeight="false" outlineLevel="0" collapsed="false">
      <c r="B114" s="399" t="s">
        <v>412</v>
      </c>
      <c r="C114" s="45"/>
      <c r="D114" s="45"/>
      <c r="E114" s="45"/>
      <c r="F114" s="501"/>
      <c r="G114" s="501"/>
      <c r="H114" s="502"/>
      <c r="I114" s="501"/>
      <c r="J114" s="501"/>
      <c r="K114" s="501"/>
      <c r="L114" s="503"/>
      <c r="M114" s="504"/>
      <c r="N114" s="504"/>
      <c r="O114" s="504"/>
      <c r="P114" s="505"/>
    </row>
    <row r="115" customFormat="false" ht="15" hidden="false" customHeight="false" outlineLevel="0" collapsed="false">
      <c r="B115" s="26" t="s">
        <v>55</v>
      </c>
      <c r="C115" s="8"/>
      <c r="D115" s="8"/>
      <c r="F115" s="102" t="n">
        <f aca="false">'AAPL-3-Statements'!F75</f>
        <v>0</v>
      </c>
      <c r="G115" s="102" t="n">
        <f aca="false">'AAPL-3-Statements'!G75</f>
        <v>0</v>
      </c>
      <c r="H115" s="356" t="n">
        <f aca="false">'AAPL-3-Statements'!H75</f>
        <v>0</v>
      </c>
      <c r="I115" s="102"/>
      <c r="J115" s="102"/>
      <c r="K115" s="102"/>
      <c r="L115" s="124" t="n">
        <f aca="false">L89</f>
        <v>40</v>
      </c>
      <c r="M115" s="20" t="n">
        <f aca="false">M89</f>
        <v>37</v>
      </c>
      <c r="N115" s="20" t="n">
        <f aca="false">N89</f>
        <v>28</v>
      </c>
      <c r="O115" s="20" t="n">
        <f aca="false">O89</f>
        <v>13</v>
      </c>
      <c r="P115" s="73" t="n">
        <f aca="false">P89</f>
        <v>10</v>
      </c>
    </row>
    <row r="116" customFormat="false" ht="15" hidden="false" customHeight="false" outlineLevel="0" collapsed="false">
      <c r="B116" s="26" t="s">
        <v>71</v>
      </c>
      <c r="C116" s="8"/>
      <c r="D116" s="8"/>
      <c r="F116" s="102" t="n">
        <f aca="false">'AAPL-3-Statements'!F76</f>
        <v>242</v>
      </c>
      <c r="G116" s="102" t="n">
        <f aca="false">'AAPL-3-Statements'!G76</f>
        <v>516</v>
      </c>
      <c r="H116" s="356" t="n">
        <f aca="false">'AAPL-3-Statements'!H76</f>
        <v>710</v>
      </c>
      <c r="I116" s="102"/>
      <c r="J116" s="102"/>
      <c r="K116" s="102"/>
      <c r="L116" s="124" t="n">
        <f aca="false">L103*L81</f>
        <v>887.5</v>
      </c>
      <c r="M116" s="20" t="n">
        <f aca="false">M103*M81</f>
        <v>1038.375</v>
      </c>
      <c r="N116" s="20" t="n">
        <f aca="false">N103*N81</f>
        <v>1152.59625</v>
      </c>
      <c r="O116" s="20" t="n">
        <f aca="false">O103*O81</f>
        <v>1256.3299125</v>
      </c>
      <c r="P116" s="73" t="n">
        <f aca="false">P103*P81</f>
        <v>1344.273006375</v>
      </c>
    </row>
    <row r="117" customFormat="false" ht="15" hidden="false" customHeight="false" outlineLevel="0" collapsed="false">
      <c r="B117" s="80"/>
      <c r="C117" s="8"/>
      <c r="D117" s="8"/>
      <c r="F117" s="81"/>
      <c r="G117" s="81"/>
      <c r="H117" s="82"/>
      <c r="I117" s="81"/>
      <c r="J117" s="81"/>
      <c r="K117" s="81"/>
      <c r="L117" s="495"/>
      <c r="M117" s="81"/>
      <c r="N117" s="81"/>
      <c r="O117" s="81"/>
      <c r="P117" s="82"/>
    </row>
    <row r="118" customFormat="false" ht="15" hidden="false" customHeight="false" outlineLevel="0" collapsed="false">
      <c r="B118" s="80" t="s">
        <v>72</v>
      </c>
      <c r="F118" s="75" t="n">
        <f aca="false">F105-F109-SUM(F111:F116)</f>
        <v>4407</v>
      </c>
      <c r="G118" s="75" t="n">
        <f aca="false">G105-G109-SUM(G111:G116)</f>
        <v>8327</v>
      </c>
      <c r="H118" s="76" t="n">
        <f aca="false">H105-H109-SUM(H111:H116)</f>
        <v>11740</v>
      </c>
      <c r="I118" s="75"/>
      <c r="J118" s="75"/>
      <c r="K118" s="75"/>
      <c r="L118" s="77" t="n">
        <f aca="false">L105-L109-SUM(L111:L116)</f>
        <v>14635</v>
      </c>
      <c r="M118" s="75" t="n">
        <f aca="false">M105-M109-SUM(M111:M116)</f>
        <v>17132.75</v>
      </c>
      <c r="N118" s="75" t="n">
        <f aca="false">N105-N109-SUM(N111:N116)</f>
        <v>19030.4225</v>
      </c>
      <c r="O118" s="75" t="n">
        <f aca="false">O105-O109-SUM(O111:O116)</f>
        <v>20760.680525</v>
      </c>
      <c r="P118" s="76" t="n">
        <f aca="false">P105-P109-SUM(P111:P116)</f>
        <v>22217.83816175</v>
      </c>
    </row>
    <row r="119" customFormat="false" ht="15" hidden="false" customHeight="false" outlineLevel="0" collapsed="false">
      <c r="B119" s="26" t="s">
        <v>300</v>
      </c>
      <c r="F119" s="20" t="n">
        <f aca="false">SUM('AAPL-3-Statements'!F79:F81)</f>
        <v>599</v>
      </c>
      <c r="G119" s="20" t="n">
        <f aca="false">SUM('AAPL-3-Statements'!G79:G81)</f>
        <v>620</v>
      </c>
      <c r="H119" s="73" t="n">
        <f aca="false">SUM('AAPL-3-Statements'!H79:H81)</f>
        <v>326</v>
      </c>
      <c r="I119" s="20"/>
      <c r="J119" s="20"/>
      <c r="K119" s="20"/>
      <c r="L119" s="127"/>
      <c r="M119" s="83"/>
      <c r="N119" s="83"/>
      <c r="O119" s="83"/>
      <c r="P119" s="84"/>
    </row>
    <row r="120" customFormat="false" ht="15" hidden="false" customHeight="false" outlineLevel="0" collapsed="false">
      <c r="B120" s="78" t="s">
        <v>76</v>
      </c>
      <c r="C120" s="34"/>
      <c r="D120" s="34"/>
      <c r="E120" s="34"/>
      <c r="F120" s="32" t="n">
        <f aca="false">SUM(F118:F119)</f>
        <v>5006</v>
      </c>
      <c r="G120" s="32" t="n">
        <f aca="false">SUM(G118:G119)</f>
        <v>8947</v>
      </c>
      <c r="H120" s="79" t="n">
        <f aca="false">SUM(H118:H119)</f>
        <v>12066</v>
      </c>
      <c r="I120" s="32"/>
      <c r="J120" s="32"/>
      <c r="K120" s="32"/>
      <c r="L120" s="129" t="n">
        <f aca="false">SUM(L118:L119)</f>
        <v>14635</v>
      </c>
      <c r="M120" s="32" t="n">
        <f aca="false">SUM(M118:M119)</f>
        <v>17132.75</v>
      </c>
      <c r="N120" s="32" t="n">
        <f aca="false">SUM(N118:N119)</f>
        <v>19030.4225</v>
      </c>
      <c r="O120" s="32" t="n">
        <f aca="false">SUM(O118:O119)</f>
        <v>20760.680525</v>
      </c>
      <c r="P120" s="79" t="n">
        <f aca="false">SUM(P118:P119)</f>
        <v>22217.83816175</v>
      </c>
    </row>
    <row r="121" customFormat="false" ht="15" hidden="false" customHeight="false" outlineLevel="0" collapsed="false">
      <c r="B121" s="85" t="s">
        <v>77</v>
      </c>
      <c r="F121" s="102" t="n">
        <f aca="false">'AAPL-3-Statements'!F83</f>
        <v>1511</v>
      </c>
      <c r="G121" s="102" t="n">
        <f aca="false">'AAPL-3-Statements'!G83</f>
        <v>2828</v>
      </c>
      <c r="H121" s="356" t="n">
        <f aca="false">'AAPL-3-Statements'!H83</f>
        <v>3831</v>
      </c>
      <c r="I121" s="102"/>
      <c r="J121" s="102"/>
      <c r="K121" s="102"/>
      <c r="L121" s="127" t="n">
        <f aca="false">L120*L84</f>
        <v>4390.5</v>
      </c>
      <c r="M121" s="83" t="n">
        <f aca="false">M120*M84</f>
        <v>5139.825</v>
      </c>
      <c r="N121" s="83" t="n">
        <f aca="false">N120*N84</f>
        <v>5709.12675</v>
      </c>
      <c r="O121" s="83" t="n">
        <f aca="false">O120*O84</f>
        <v>6228.2041575</v>
      </c>
      <c r="P121" s="84" t="n">
        <f aca="false">P120*P84</f>
        <v>6665.351448525</v>
      </c>
    </row>
    <row r="122" customFormat="false" ht="15" hidden="false" customHeight="false" outlineLevel="0" collapsed="false">
      <c r="B122" s="26"/>
      <c r="F122" s="8"/>
      <c r="G122" s="8"/>
      <c r="H122" s="9"/>
      <c r="I122" s="8"/>
      <c r="J122" s="8"/>
      <c r="K122" s="8"/>
      <c r="L122" s="7"/>
      <c r="M122" s="8"/>
      <c r="N122" s="8"/>
      <c r="O122" s="8"/>
      <c r="P122" s="9"/>
    </row>
    <row r="123" customFormat="false" ht="15" hidden="false" customHeight="false" outlineLevel="0" collapsed="false">
      <c r="B123" s="80" t="s">
        <v>78</v>
      </c>
      <c r="F123" s="75" t="n">
        <f aca="false">F120-F121</f>
        <v>3495</v>
      </c>
      <c r="G123" s="75" t="n">
        <f aca="false">G120-G121</f>
        <v>6119</v>
      </c>
      <c r="H123" s="76" t="n">
        <f aca="false">H120-H121</f>
        <v>8235</v>
      </c>
      <c r="I123" s="75"/>
      <c r="J123" s="75"/>
      <c r="K123" s="75"/>
      <c r="L123" s="77" t="n">
        <f aca="false">L120-L121</f>
        <v>10244.5</v>
      </c>
      <c r="M123" s="75" t="n">
        <f aca="false">M120-M121</f>
        <v>11992.925</v>
      </c>
      <c r="N123" s="75" t="n">
        <f aca="false">N120-N121</f>
        <v>13321.29575</v>
      </c>
      <c r="O123" s="75" t="n">
        <f aca="false">O120-O121</f>
        <v>14532.4763675</v>
      </c>
      <c r="P123" s="76" t="n">
        <f aca="false">P120-P121</f>
        <v>15552.486713225</v>
      </c>
    </row>
    <row r="124" customFormat="false" ht="15" hidden="false" customHeight="false" outlineLevel="0" collapsed="false">
      <c r="B124" s="91" t="s">
        <v>81</v>
      </c>
      <c r="C124" s="92"/>
      <c r="D124" s="92"/>
      <c r="E124" s="45"/>
      <c r="F124" s="133" t="n">
        <f aca="false">F118+SUM(F111:F116)</f>
        <v>4976</v>
      </c>
      <c r="G124" s="133" t="n">
        <f aca="false">G118+SUM(G111:G116)</f>
        <v>9339</v>
      </c>
      <c r="H124" s="134" t="n">
        <f aca="false">H118+SUM(H111:H116)</f>
        <v>13184</v>
      </c>
      <c r="I124" s="133"/>
      <c r="J124" s="133"/>
      <c r="K124" s="133"/>
      <c r="L124" s="454" t="n">
        <f aca="false">L118+SUM(L111:L116)</f>
        <v>16480</v>
      </c>
      <c r="M124" s="133" t="n">
        <f aca="false">M118+SUM(M111:M116)</f>
        <v>19281.6</v>
      </c>
      <c r="N124" s="133" t="n">
        <f aca="false">N118+SUM(N111:N116)</f>
        <v>21402.576</v>
      </c>
      <c r="O124" s="133" t="n">
        <f aca="false">O118+SUM(O111:O116)</f>
        <v>23328.80784</v>
      </c>
      <c r="P124" s="134" t="n">
        <f aca="false">P118+SUM(P111:P116)</f>
        <v>24961.8243888</v>
      </c>
    </row>
    <row r="126" customFormat="false" ht="15" hidden="false" customHeight="false" outlineLevel="0" collapsed="false">
      <c r="B126" s="3" t="s">
        <v>84</v>
      </c>
      <c r="C126" s="4"/>
      <c r="D126" s="4"/>
      <c r="E126" s="4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6"/>
    </row>
    <row r="127" customFormat="false" ht="15" hidden="false" customHeight="false" outlineLevel="0" collapsed="false">
      <c r="B127" s="7"/>
      <c r="C127" s="8"/>
      <c r="D127" s="8"/>
      <c r="E127" s="40"/>
      <c r="F127" s="506"/>
      <c r="G127" s="490" t="str">
        <f aca="false">$F$73</f>
        <v>Historical</v>
      </c>
      <c r="H127" s="490"/>
      <c r="I127" s="491" t="str">
        <f aca="false">$I$73</f>
        <v>Transaction Adjustments</v>
      </c>
      <c r="J127" s="491"/>
      <c r="K127" s="491"/>
      <c r="L127" s="492" t="str">
        <f aca="false">$L$73</f>
        <v>Projections</v>
      </c>
      <c r="M127" s="492"/>
      <c r="N127" s="492"/>
      <c r="O127" s="492"/>
      <c r="P127" s="492"/>
    </row>
    <row r="128" customFormat="false" ht="15" hidden="false" customHeight="false" outlineLevel="0" collapsed="false">
      <c r="B128" s="7"/>
      <c r="C128" s="8"/>
      <c r="D128" s="8"/>
      <c r="E128" s="40"/>
      <c r="F128" s="40"/>
      <c r="G128" s="38" t="str">
        <f aca="false">$G$74</f>
        <v>FY 2008</v>
      </c>
      <c r="H128" s="39" t="str">
        <f aca="false">$H$74</f>
        <v>FY 2009</v>
      </c>
      <c r="I128" s="38" t="str">
        <f aca="false">$I$74</f>
        <v>Debit</v>
      </c>
      <c r="J128" s="38" t="str">
        <f aca="false">$J$74</f>
        <v>Credit</v>
      </c>
      <c r="K128" s="38" t="str">
        <f aca="false">$K$74</f>
        <v>FY 2009</v>
      </c>
      <c r="L128" s="493" t="str">
        <f aca="false">$L$74</f>
        <v>FY 2010E</v>
      </c>
      <c r="M128" s="38" t="str">
        <f aca="false">$M$74</f>
        <v>FY 2011E</v>
      </c>
      <c r="N128" s="38" t="str">
        <f aca="false">$N$74</f>
        <v>FY 2012E</v>
      </c>
      <c r="O128" s="38" t="str">
        <f aca="false">$O$74</f>
        <v>FY 2013E</v>
      </c>
      <c r="P128" s="39" t="str">
        <f aca="false">$P$74</f>
        <v>FY 2014E</v>
      </c>
    </row>
    <row r="129" customFormat="false" ht="15" hidden="false" customHeight="false" outlineLevel="0" collapsed="false">
      <c r="B129" s="96" t="s">
        <v>85</v>
      </c>
      <c r="C129" s="96"/>
      <c r="D129" s="96"/>
      <c r="E129" s="97"/>
      <c r="F129" s="97"/>
      <c r="G129" s="97"/>
      <c r="H129" s="98"/>
      <c r="I129" s="97"/>
      <c r="J129" s="97"/>
      <c r="K129" s="98"/>
      <c r="L129" s="8"/>
      <c r="P129" s="9"/>
    </row>
    <row r="130" customFormat="false" ht="15" hidden="false" customHeight="false" outlineLevel="0" collapsed="false">
      <c r="B130" s="10" t="s">
        <v>86</v>
      </c>
      <c r="C130" s="100"/>
      <c r="D130" s="100"/>
      <c r="E130" s="100"/>
      <c r="G130" s="100"/>
      <c r="H130" s="101"/>
      <c r="I130" s="100"/>
      <c r="J130" s="100"/>
      <c r="K130" s="101"/>
      <c r="L130" s="8"/>
      <c r="P130" s="9"/>
    </row>
    <row r="131" customFormat="false" ht="15" hidden="false" customHeight="false" outlineLevel="0" collapsed="false">
      <c r="B131" s="26" t="s">
        <v>87</v>
      </c>
      <c r="C131" s="102"/>
      <c r="D131" s="102"/>
      <c r="E131" s="30"/>
      <c r="G131" s="102" t="n">
        <f aca="false">'AAPL-3-Statements'!G99</f>
        <v>11875</v>
      </c>
      <c r="H131" s="356" t="n">
        <f aca="false">'AAPL-3-Statements'!H99</f>
        <v>6559</v>
      </c>
      <c r="I131" s="30" t="n">
        <v>0</v>
      </c>
      <c r="J131" s="20" t="n">
        <f aca="false">F44</f>
        <v>1559</v>
      </c>
      <c r="K131" s="73" t="n">
        <f aca="false">H131+I131-J131</f>
        <v>5000</v>
      </c>
      <c r="L131" s="20" t="n">
        <f aca="false">L216</f>
        <v>17795.25</v>
      </c>
      <c r="M131" s="20" t="n">
        <f aca="false">M216</f>
        <v>32079.3125</v>
      </c>
      <c r="N131" s="20" t="n">
        <f aca="false">N216</f>
        <v>47289.975875</v>
      </c>
      <c r="O131" s="20" t="n">
        <f aca="false">O216</f>
        <v>63614.46020375</v>
      </c>
      <c r="P131" s="73" t="n">
        <f aca="false">P216</f>
        <v>80803.1155830125</v>
      </c>
    </row>
    <row r="132" customFormat="false" ht="15" hidden="false" customHeight="false" outlineLevel="0" collapsed="false">
      <c r="B132" s="26" t="s">
        <v>88</v>
      </c>
      <c r="C132" s="75"/>
      <c r="D132" s="70"/>
      <c r="E132" s="30"/>
      <c r="G132" s="102" t="n">
        <f aca="false">'AAPL-3-Statements'!G100</f>
        <v>10236</v>
      </c>
      <c r="H132" s="356" t="n">
        <f aca="false">'AAPL-3-Statements'!H100</f>
        <v>26282</v>
      </c>
      <c r="I132" s="30" t="n">
        <v>0</v>
      </c>
      <c r="J132" s="30" t="n">
        <v>0</v>
      </c>
      <c r="K132" s="73" t="n">
        <f aca="false">H132+I132-J132</f>
        <v>26282</v>
      </c>
      <c r="L132" s="20" t="n">
        <f aca="false">K132</f>
        <v>26282</v>
      </c>
      <c r="M132" s="20" t="n">
        <f aca="false">L132</f>
        <v>26282</v>
      </c>
      <c r="N132" s="20" t="n">
        <f aca="false">M132</f>
        <v>26282</v>
      </c>
      <c r="O132" s="20" t="n">
        <f aca="false">N132</f>
        <v>26282</v>
      </c>
      <c r="P132" s="73" t="n">
        <f aca="false">O132</f>
        <v>26282</v>
      </c>
    </row>
    <row r="133" customFormat="false" ht="15" hidden="false" customHeight="false" outlineLevel="0" collapsed="false">
      <c r="B133" s="26" t="s">
        <v>89</v>
      </c>
      <c r="C133" s="8"/>
      <c r="D133" s="8"/>
      <c r="E133" s="30"/>
      <c r="G133" s="102" t="n">
        <f aca="false">'AAPL-3-Statements'!G101</f>
        <v>2422</v>
      </c>
      <c r="H133" s="356" t="n">
        <f aca="false">'AAPL-3-Statements'!H101</f>
        <v>3361</v>
      </c>
      <c r="I133" s="30" t="n">
        <v>0</v>
      </c>
      <c r="J133" s="30" t="n">
        <v>0</v>
      </c>
      <c r="K133" s="73" t="n">
        <f aca="false">H133+I133-J133</f>
        <v>3361</v>
      </c>
      <c r="L133" s="20" t="n">
        <f aca="false">L103*L86</f>
        <v>4201.25</v>
      </c>
      <c r="M133" s="20" t="n">
        <f aca="false">M103*M86</f>
        <v>4915.4625</v>
      </c>
      <c r="N133" s="20" t="n">
        <f aca="false">N103*N86</f>
        <v>5456.163375</v>
      </c>
      <c r="O133" s="20" t="n">
        <f aca="false">O103*O86</f>
        <v>5947.21807875</v>
      </c>
      <c r="P133" s="73" t="n">
        <f aca="false">P103*P86</f>
        <v>6363.5233442625</v>
      </c>
    </row>
    <row r="134" customFormat="false" ht="15" hidden="false" customHeight="false" outlineLevel="0" collapsed="false">
      <c r="B134" s="26" t="s">
        <v>90</v>
      </c>
      <c r="C134" s="102"/>
      <c r="D134" s="102"/>
      <c r="E134" s="30"/>
      <c r="G134" s="102" t="n">
        <f aca="false">'AAPL-3-Statements'!G102</f>
        <v>509</v>
      </c>
      <c r="H134" s="356" t="n">
        <f aca="false">'AAPL-3-Statements'!H102</f>
        <v>455</v>
      </c>
      <c r="I134" s="30" t="n">
        <v>0</v>
      </c>
      <c r="J134" s="30" t="n">
        <v>0</v>
      </c>
      <c r="K134" s="73" t="n">
        <f aca="false">H134+I134-J134</f>
        <v>455</v>
      </c>
      <c r="L134" s="20" t="n">
        <f aca="false">L104*L88</f>
        <v>568.75</v>
      </c>
      <c r="M134" s="20" t="n">
        <f aca="false">M104*M88</f>
        <v>665.4375</v>
      </c>
      <c r="N134" s="20" t="n">
        <f aca="false">N104*N88</f>
        <v>738.635625</v>
      </c>
      <c r="O134" s="20" t="n">
        <f aca="false">O104*O88</f>
        <v>805.11283125</v>
      </c>
      <c r="P134" s="73" t="n">
        <f aca="false">P104*P88</f>
        <v>861.4707294375</v>
      </c>
    </row>
    <row r="135" customFormat="false" ht="15" hidden="false" customHeight="false" outlineLevel="0" collapsed="false">
      <c r="B135" s="26" t="s">
        <v>91</v>
      </c>
      <c r="C135" s="102"/>
      <c r="D135" s="102"/>
      <c r="E135" s="30"/>
      <c r="G135" s="102" t="n">
        <f aca="false">'AAPL-3-Statements'!G103</f>
        <v>1044</v>
      </c>
      <c r="H135" s="356" t="n">
        <f aca="false">'AAPL-3-Statements'!H103</f>
        <v>4</v>
      </c>
      <c r="I135" s="30" t="n">
        <v>0</v>
      </c>
      <c r="J135" s="30" t="n">
        <v>0</v>
      </c>
      <c r="K135" s="73" t="n">
        <f aca="false">H135+I135-J135</f>
        <v>4</v>
      </c>
      <c r="L135" s="20" t="n">
        <f aca="false">K135</f>
        <v>4</v>
      </c>
      <c r="M135" s="20" t="n">
        <f aca="false">L135</f>
        <v>4</v>
      </c>
      <c r="N135" s="20" t="n">
        <f aca="false">M135</f>
        <v>4</v>
      </c>
      <c r="O135" s="20" t="n">
        <f aca="false">N135</f>
        <v>4</v>
      </c>
      <c r="P135" s="73" t="n">
        <f aca="false">O135</f>
        <v>4</v>
      </c>
    </row>
    <row r="136" customFormat="false" ht="15" hidden="false" customHeight="false" outlineLevel="0" collapsed="false">
      <c r="B136" s="26" t="s">
        <v>92</v>
      </c>
      <c r="C136" s="75"/>
      <c r="D136" s="70"/>
      <c r="E136" s="30"/>
      <c r="G136" s="102" t="n">
        <f aca="false">'AAPL-3-Statements'!G104</f>
        <v>3920</v>
      </c>
      <c r="H136" s="356" t="n">
        <f aca="false">'AAPL-3-Statements'!H104</f>
        <v>3140</v>
      </c>
      <c r="I136" s="30" t="n">
        <v>0</v>
      </c>
      <c r="J136" s="30" t="n">
        <v>0</v>
      </c>
      <c r="K136" s="73" t="n">
        <f aca="false">H136+I136-J136</f>
        <v>3140</v>
      </c>
      <c r="L136" s="20" t="n">
        <f aca="false">K136</f>
        <v>3140</v>
      </c>
      <c r="M136" s="20" t="n">
        <f aca="false">L136</f>
        <v>3140</v>
      </c>
      <c r="N136" s="20" t="n">
        <f aca="false">M136</f>
        <v>3140</v>
      </c>
      <c r="O136" s="20" t="n">
        <f aca="false">N136</f>
        <v>3140</v>
      </c>
      <c r="P136" s="73" t="n">
        <f aca="false">O136</f>
        <v>3140</v>
      </c>
    </row>
    <row r="137" customFormat="false" ht="15" hidden="false" customHeight="false" outlineLevel="0" collapsed="false">
      <c r="B137" s="104" t="s">
        <v>93</v>
      </c>
      <c r="C137" s="105"/>
      <c r="D137" s="106"/>
      <c r="E137" s="107"/>
      <c r="F137" s="34"/>
      <c r="G137" s="107" t="n">
        <f aca="false">SUM(G131:G136)</f>
        <v>30006</v>
      </c>
      <c r="H137" s="108" t="n">
        <f aca="false">SUM(H131:H136)</f>
        <v>39801</v>
      </c>
      <c r="I137" s="107"/>
      <c r="J137" s="107"/>
      <c r="K137" s="108" t="n">
        <f aca="false">SUM(K131:K136)</f>
        <v>38242</v>
      </c>
      <c r="L137" s="107" t="n">
        <f aca="false">SUM(L131:L136)</f>
        <v>51991.25</v>
      </c>
      <c r="M137" s="107" t="n">
        <f aca="false">SUM(M131:M136)</f>
        <v>67086.2125</v>
      </c>
      <c r="N137" s="107" t="n">
        <f aca="false">SUM(N131:N136)</f>
        <v>82910.774875</v>
      </c>
      <c r="O137" s="107" t="n">
        <f aca="false">SUM(O131:O136)</f>
        <v>99792.79111375</v>
      </c>
      <c r="P137" s="108" t="n">
        <f aca="false">SUM(P131:P136)</f>
        <v>117454.109656713</v>
      </c>
    </row>
    <row r="138" customFormat="false" ht="15" hidden="false" customHeight="false" outlineLevel="0" collapsed="false">
      <c r="B138" s="7"/>
      <c r="C138" s="75"/>
      <c r="D138" s="70"/>
      <c r="E138" s="70"/>
      <c r="G138" s="70"/>
      <c r="H138" s="71"/>
      <c r="I138" s="70"/>
      <c r="J138" s="70"/>
      <c r="K138" s="71"/>
      <c r="L138" s="70"/>
      <c r="M138" s="70"/>
      <c r="N138" s="70"/>
      <c r="O138" s="70"/>
      <c r="P138" s="71"/>
    </row>
    <row r="139" customFormat="false" ht="15" hidden="false" customHeight="false" outlineLevel="0" collapsed="false">
      <c r="B139" s="10" t="s">
        <v>94</v>
      </c>
      <c r="C139" s="75"/>
      <c r="D139" s="70"/>
      <c r="E139" s="70"/>
      <c r="G139" s="70"/>
      <c r="H139" s="71"/>
      <c r="I139" s="70"/>
      <c r="J139" s="70"/>
      <c r="K139" s="71"/>
      <c r="L139" s="70"/>
      <c r="M139" s="70"/>
      <c r="N139" s="70"/>
      <c r="O139" s="70"/>
      <c r="P139" s="71"/>
    </row>
    <row r="140" customFormat="false" ht="15" hidden="false" customHeight="false" outlineLevel="0" collapsed="false">
      <c r="B140" s="26" t="s">
        <v>95</v>
      </c>
      <c r="C140" s="109"/>
      <c r="D140" s="20"/>
      <c r="E140" s="30"/>
      <c r="G140" s="102" t="n">
        <f aca="false">'AAPL-3-Statements'!G108</f>
        <v>2379</v>
      </c>
      <c r="H140" s="356" t="n">
        <f aca="false">'AAPL-3-Statements'!H108</f>
        <v>2554</v>
      </c>
      <c r="I140" s="30" t="n">
        <v>0</v>
      </c>
      <c r="J140" s="30" t="n">
        <v>0</v>
      </c>
      <c r="K140" s="73" t="n">
        <f aca="false">H140+I140-J140</f>
        <v>2554</v>
      </c>
      <c r="L140" s="20" t="n">
        <f aca="false">K140</f>
        <v>2554</v>
      </c>
      <c r="M140" s="20" t="n">
        <f aca="false">L140</f>
        <v>2554</v>
      </c>
      <c r="N140" s="20" t="n">
        <f aca="false">M140</f>
        <v>2554</v>
      </c>
      <c r="O140" s="20" t="n">
        <f aca="false">N140</f>
        <v>2554</v>
      </c>
      <c r="P140" s="73" t="n">
        <f aca="false">O140</f>
        <v>2554</v>
      </c>
    </row>
    <row r="141" customFormat="false" ht="15" hidden="false" customHeight="false" outlineLevel="0" collapsed="false">
      <c r="B141" s="26" t="s">
        <v>96</v>
      </c>
      <c r="C141" s="75"/>
      <c r="D141" s="70"/>
      <c r="E141" s="30"/>
      <c r="G141" s="102" t="n">
        <f aca="false">'AAPL-3-Statements'!G109</f>
        <v>2455</v>
      </c>
      <c r="H141" s="356" t="n">
        <f aca="false">'AAPL-3-Statements'!H109</f>
        <v>2839</v>
      </c>
      <c r="I141" s="20" t="n">
        <f aca="false">L56</f>
        <v>283.9</v>
      </c>
      <c r="J141" s="30" t="n">
        <v>0</v>
      </c>
      <c r="K141" s="73" t="n">
        <f aca="false">H141+I141-J141</f>
        <v>3122.9</v>
      </c>
      <c r="L141" s="20" t="n">
        <f aca="false">K141-L185-L202</f>
        <v>3635.4</v>
      </c>
      <c r="M141" s="20" t="n">
        <f aca="false">L141-M185-M202</f>
        <v>4235.025</v>
      </c>
      <c r="N141" s="20" t="n">
        <f aca="false">M141-N185-N202</f>
        <v>4900.60875</v>
      </c>
      <c r="O141" s="20" t="n">
        <f aca="false">N141-O185-O202</f>
        <v>5626.0950375</v>
      </c>
      <c r="P141" s="73" t="n">
        <f aca="false">O141-P185-P202</f>
        <v>6402.365365125</v>
      </c>
    </row>
    <row r="142" customFormat="false" ht="15" hidden="false" customHeight="false" outlineLevel="0" collapsed="false">
      <c r="B142" s="26" t="s">
        <v>97</v>
      </c>
      <c r="C142" s="110"/>
      <c r="D142" s="111"/>
      <c r="E142" s="30"/>
      <c r="G142" s="102" t="n">
        <f aca="false">'AAPL-3-Statements'!G110</f>
        <v>207</v>
      </c>
      <c r="H142" s="356" t="n">
        <f aca="false">'AAPL-3-Statements'!H110</f>
        <v>207</v>
      </c>
      <c r="I142" s="20" t="n">
        <f aca="false">F64</f>
        <v>155474.53574016</v>
      </c>
      <c r="J142" s="20" t="n">
        <f aca="false">F57</f>
        <v>207</v>
      </c>
      <c r="K142" s="73" t="n">
        <f aca="false">H142+I142-J142</f>
        <v>155474.53574016</v>
      </c>
      <c r="L142" s="20" t="n">
        <f aca="false">K142</f>
        <v>155474.53574016</v>
      </c>
      <c r="M142" s="20" t="n">
        <f aca="false">L142</f>
        <v>155474.53574016</v>
      </c>
      <c r="N142" s="20" t="n">
        <f aca="false">M142</f>
        <v>155474.53574016</v>
      </c>
      <c r="O142" s="20" t="n">
        <f aca="false">N142</f>
        <v>155474.53574016</v>
      </c>
      <c r="P142" s="73" t="n">
        <f aca="false">O142</f>
        <v>155474.53574016</v>
      </c>
    </row>
    <row r="143" customFormat="false" ht="15" hidden="false" customHeight="false" outlineLevel="0" collapsed="false">
      <c r="B143" s="112" t="s">
        <v>98</v>
      </c>
      <c r="C143" s="113"/>
      <c r="D143" s="114"/>
      <c r="E143" s="30"/>
      <c r="G143" s="102" t="n">
        <f aca="false">'AAPL-3-Statements'!G111</f>
        <v>285</v>
      </c>
      <c r="H143" s="356" t="n">
        <f aca="false">'AAPL-3-Statements'!H111</f>
        <v>354</v>
      </c>
      <c r="I143" s="20" t="n">
        <f aca="false">L62</f>
        <v>36203.0850558512</v>
      </c>
      <c r="J143" s="30" t="n">
        <v>0</v>
      </c>
      <c r="K143" s="73" t="n">
        <f aca="false">H143+I143-J143</f>
        <v>36557.0850558512</v>
      </c>
      <c r="L143" s="20" t="n">
        <f aca="false">K143-L190</f>
        <v>36517.0850558512</v>
      </c>
      <c r="M143" s="20" t="n">
        <f aca="false">L143-M190</f>
        <v>36480.0850558512</v>
      </c>
      <c r="N143" s="20" t="n">
        <f aca="false">M143-N190</f>
        <v>36452.0850558512</v>
      </c>
      <c r="O143" s="20" t="n">
        <f aca="false">N143-O190</f>
        <v>36439.0850558512</v>
      </c>
      <c r="P143" s="505" t="n">
        <f aca="false">O143-P190</f>
        <v>36429.0850558512</v>
      </c>
    </row>
    <row r="144" customFormat="false" ht="15" hidden="false" customHeight="false" outlineLevel="0" collapsed="false">
      <c r="B144" s="507" t="s">
        <v>405</v>
      </c>
      <c r="C144" s="508"/>
      <c r="D144" s="509"/>
      <c r="E144" s="510"/>
      <c r="F144" s="390"/>
      <c r="G144" s="510" t="n">
        <v>0</v>
      </c>
      <c r="H144" s="511" t="n">
        <v>0</v>
      </c>
      <c r="I144" s="391" t="n">
        <f aca="false">L48</f>
        <v>48.6624</v>
      </c>
      <c r="J144" s="510" t="n">
        <v>0</v>
      </c>
      <c r="K144" s="392" t="n">
        <f aca="false">H144+I144-J144</f>
        <v>48.6624</v>
      </c>
      <c r="L144" s="391" t="n">
        <f aca="false">K144</f>
        <v>48.6624</v>
      </c>
      <c r="M144" s="391" t="n">
        <f aca="false">L144</f>
        <v>48.6624</v>
      </c>
      <c r="N144" s="391" t="n">
        <f aca="false">M144</f>
        <v>48.6624</v>
      </c>
      <c r="O144" s="391" t="n">
        <f aca="false">N144</f>
        <v>48.6624</v>
      </c>
      <c r="P144" s="392" t="n">
        <f aca="false">O144</f>
        <v>48.6624</v>
      </c>
    </row>
    <row r="145" customFormat="false" ht="15" hidden="false" customHeight="false" outlineLevel="0" collapsed="false">
      <c r="B145" s="112" t="s">
        <v>99</v>
      </c>
      <c r="C145" s="113"/>
      <c r="D145" s="114"/>
      <c r="E145" s="30"/>
      <c r="G145" s="102" t="n">
        <f aca="false">'AAPL-3-Statements'!G112</f>
        <v>839</v>
      </c>
      <c r="H145" s="512" t="n">
        <f aca="false">'AAPL-3-Statements'!H112</f>
        <v>2011</v>
      </c>
      <c r="I145" s="30" t="n">
        <v>0</v>
      </c>
      <c r="J145" s="30" t="n">
        <v>0</v>
      </c>
      <c r="K145" s="73" t="n">
        <f aca="false">H145+I145-J145</f>
        <v>2011</v>
      </c>
      <c r="L145" s="20" t="n">
        <f aca="false">K145</f>
        <v>2011</v>
      </c>
      <c r="M145" s="20" t="n">
        <f aca="false">L145</f>
        <v>2011</v>
      </c>
      <c r="N145" s="20" t="n">
        <f aca="false">M145</f>
        <v>2011</v>
      </c>
      <c r="O145" s="20" t="n">
        <f aca="false">N145</f>
        <v>2011</v>
      </c>
      <c r="P145" s="73" t="n">
        <f aca="false">O145</f>
        <v>2011</v>
      </c>
    </row>
    <row r="146" customFormat="false" ht="15" hidden="false" customHeight="false" outlineLevel="0" collapsed="false">
      <c r="B146" s="104" t="s">
        <v>100</v>
      </c>
      <c r="C146" s="105"/>
      <c r="D146" s="106"/>
      <c r="E146" s="107"/>
      <c r="F146" s="34"/>
      <c r="G146" s="107" t="n">
        <f aca="false">SUM(G140:G145)+G137</f>
        <v>36171</v>
      </c>
      <c r="H146" s="108" t="n">
        <f aca="false">SUM(H140:H145)+H137</f>
        <v>47766</v>
      </c>
      <c r="I146" s="107"/>
      <c r="J146" s="107"/>
      <c r="K146" s="108" t="n">
        <f aca="false">SUM(K140:K145)+K137</f>
        <v>238010.183196011</v>
      </c>
      <c r="L146" s="107" t="n">
        <f aca="false">SUM(L140:L145)+L137</f>
        <v>252231.933196011</v>
      </c>
      <c r="M146" s="107" t="n">
        <f aca="false">SUM(M140:M145)+M137</f>
        <v>267889.520696011</v>
      </c>
      <c r="N146" s="107" t="n">
        <f aca="false">SUM(N140:N145)+N137</f>
        <v>284351.666821011</v>
      </c>
      <c r="O146" s="107" t="n">
        <f aca="false">SUM(O140:O145)+O137</f>
        <v>301946.169347261</v>
      </c>
      <c r="P146" s="108" t="n">
        <f aca="false">SUM(P140:P145)+P137</f>
        <v>320373.758217849</v>
      </c>
    </row>
    <row r="147" customFormat="false" ht="15" hidden="false" customHeight="false" outlineLevel="0" collapsed="false">
      <c r="B147" s="115"/>
      <c r="C147" s="113"/>
      <c r="D147" s="114"/>
      <c r="E147" s="114"/>
      <c r="G147" s="114"/>
      <c r="H147" s="116"/>
      <c r="I147" s="114"/>
      <c r="J147" s="114"/>
      <c r="K147" s="116"/>
      <c r="L147" s="114"/>
      <c r="M147" s="114"/>
      <c r="N147" s="114"/>
      <c r="O147" s="114"/>
      <c r="P147" s="116"/>
    </row>
    <row r="148" customFormat="false" ht="15" hidden="false" customHeight="false" outlineLevel="0" collapsed="false">
      <c r="B148" s="117" t="s">
        <v>101</v>
      </c>
      <c r="C148" s="117"/>
      <c r="D148" s="117"/>
      <c r="E148" s="117"/>
      <c r="G148" s="118"/>
      <c r="H148" s="119"/>
      <c r="I148" s="118"/>
      <c r="J148" s="118"/>
      <c r="K148" s="119"/>
      <c r="L148" s="118"/>
      <c r="M148" s="118"/>
      <c r="N148" s="118"/>
      <c r="O148" s="118"/>
      <c r="P148" s="119"/>
    </row>
    <row r="149" customFormat="false" ht="15" hidden="false" customHeight="false" outlineLevel="0" collapsed="false">
      <c r="B149" s="10" t="s">
        <v>102</v>
      </c>
      <c r="C149" s="75"/>
      <c r="D149" s="70"/>
      <c r="E149" s="70"/>
      <c r="G149" s="70"/>
      <c r="H149" s="71"/>
      <c r="I149" s="70"/>
      <c r="J149" s="70"/>
      <c r="K149" s="71"/>
      <c r="L149" s="70"/>
      <c r="M149" s="70"/>
      <c r="N149" s="70"/>
      <c r="O149" s="70"/>
      <c r="P149" s="71"/>
    </row>
    <row r="150" customFormat="false" ht="15" hidden="false" customHeight="false" outlineLevel="0" collapsed="false">
      <c r="B150" s="389" t="str">
        <f aca="false">H28</f>
        <v>Revolver:</v>
      </c>
      <c r="C150" s="435"/>
      <c r="D150" s="513"/>
      <c r="E150" s="510"/>
      <c r="F150" s="390"/>
      <c r="G150" s="510" t="n">
        <v>0</v>
      </c>
      <c r="H150" s="511" t="n">
        <v>0</v>
      </c>
      <c r="I150" s="510" t="n">
        <v>0</v>
      </c>
      <c r="J150" s="510" t="n">
        <v>0</v>
      </c>
      <c r="K150" s="392" t="n">
        <f aca="false">H150-I150+J150</f>
        <v>0</v>
      </c>
      <c r="L150" s="391" t="n">
        <f aca="false">K150</f>
        <v>0</v>
      </c>
      <c r="M150" s="391" t="n">
        <f aca="false">L150</f>
        <v>0</v>
      </c>
      <c r="N150" s="391" t="n">
        <f aca="false">M150</f>
        <v>0</v>
      </c>
      <c r="O150" s="391" t="n">
        <f aca="false">N150</f>
        <v>0</v>
      </c>
      <c r="P150" s="392" t="n">
        <f aca="false">O150</f>
        <v>0</v>
      </c>
    </row>
    <row r="151" customFormat="false" ht="15" hidden="false" customHeight="false" outlineLevel="0" collapsed="false">
      <c r="B151" s="26" t="s">
        <v>103</v>
      </c>
      <c r="C151" s="75"/>
      <c r="D151" s="70"/>
      <c r="E151" s="30"/>
      <c r="G151" s="102" t="n">
        <f aca="false">'AAPL-3-Statements'!G117</f>
        <v>5520</v>
      </c>
      <c r="H151" s="356" t="n">
        <f aca="false">'AAPL-3-Statements'!H117</f>
        <v>5601</v>
      </c>
      <c r="I151" s="514" t="n">
        <v>0</v>
      </c>
      <c r="J151" s="514" t="n">
        <v>0</v>
      </c>
      <c r="K151" s="500" t="n">
        <f aca="false">H151-I151+J151</f>
        <v>5601</v>
      </c>
      <c r="L151" s="20" t="n">
        <f aca="false">L104*L91</f>
        <v>7001.25</v>
      </c>
      <c r="M151" s="20" t="n">
        <f aca="false">M104*M91</f>
        <v>8191.4625</v>
      </c>
      <c r="N151" s="20" t="n">
        <f aca="false">N104*N91</f>
        <v>9092.523375</v>
      </c>
      <c r="O151" s="20" t="n">
        <f aca="false">O104*O91</f>
        <v>9910.85047875</v>
      </c>
      <c r="P151" s="73" t="n">
        <f aca="false">P104*P91</f>
        <v>10604.6100122625</v>
      </c>
    </row>
    <row r="152" customFormat="false" ht="15" hidden="false" customHeight="false" outlineLevel="0" collapsed="false">
      <c r="B152" s="26" t="s">
        <v>104</v>
      </c>
      <c r="C152" s="75"/>
      <c r="D152" s="70"/>
      <c r="E152" s="30"/>
      <c r="G152" s="102" t="n">
        <f aca="false">'AAPL-3-Statements'!G118</f>
        <v>4224</v>
      </c>
      <c r="H152" s="356" t="n">
        <f aca="false">'AAPL-3-Statements'!H118</f>
        <v>3852</v>
      </c>
      <c r="I152" s="515" t="n">
        <v>0</v>
      </c>
      <c r="J152" s="30" t="n">
        <v>0</v>
      </c>
      <c r="K152" s="73" t="n">
        <f aca="false">H152-I152+J152</f>
        <v>3852</v>
      </c>
      <c r="L152" s="20" t="n">
        <f aca="false">L109*L93</f>
        <v>4815</v>
      </c>
      <c r="M152" s="20" t="n">
        <f aca="false">M109*M93</f>
        <v>5633.55</v>
      </c>
      <c r="N152" s="20" t="n">
        <f aca="false">N109*N93</f>
        <v>6253.2405</v>
      </c>
      <c r="O152" s="20" t="n">
        <f aca="false">O109*O93</f>
        <v>6816.032145</v>
      </c>
      <c r="P152" s="73" t="n">
        <f aca="false">P109*P93</f>
        <v>7293.15439515</v>
      </c>
    </row>
    <row r="153" customFormat="false" ht="15" hidden="false" customHeight="false" outlineLevel="0" collapsed="false">
      <c r="B153" s="26" t="s">
        <v>105</v>
      </c>
      <c r="C153" s="8"/>
      <c r="D153" s="8"/>
      <c r="E153" s="30"/>
      <c r="G153" s="102" t="n">
        <f aca="false">'AAPL-3-Statements'!G119</f>
        <v>1617</v>
      </c>
      <c r="H153" s="356" t="n">
        <f aca="false">'AAPL-3-Statements'!H119</f>
        <v>2053</v>
      </c>
      <c r="I153" s="516" t="n">
        <v>0</v>
      </c>
      <c r="J153" s="516" t="n">
        <v>0</v>
      </c>
      <c r="K153" s="505" t="n">
        <f aca="false">H153-I153+J153</f>
        <v>2053</v>
      </c>
      <c r="L153" s="20" t="n">
        <f aca="false">L103*L94</f>
        <v>2566.25</v>
      </c>
      <c r="M153" s="20" t="n">
        <f aca="false">M103*M94</f>
        <v>3002.5125</v>
      </c>
      <c r="N153" s="20" t="n">
        <f aca="false">N103*N94</f>
        <v>3332.788875</v>
      </c>
      <c r="O153" s="20" t="n">
        <f aca="false">O103*O94</f>
        <v>3632.73987375</v>
      </c>
      <c r="P153" s="73" t="n">
        <f aca="false">P103*P94</f>
        <v>3887.0316649125</v>
      </c>
    </row>
    <row r="154" customFormat="false" ht="15" hidden="false" customHeight="false" outlineLevel="0" collapsed="false">
      <c r="B154" s="104" t="s">
        <v>106</v>
      </c>
      <c r="C154" s="34"/>
      <c r="D154" s="34"/>
      <c r="E154" s="107"/>
      <c r="F154" s="34"/>
      <c r="G154" s="107" t="n">
        <f aca="false">SUM(G150:G153)</f>
        <v>11361</v>
      </c>
      <c r="H154" s="108" t="n">
        <f aca="false">SUM(H150:H153)</f>
        <v>11506</v>
      </c>
      <c r="I154" s="107"/>
      <c r="J154" s="107"/>
      <c r="K154" s="108" t="n">
        <f aca="false">SUM(K150:K153)</f>
        <v>11506</v>
      </c>
      <c r="L154" s="107" t="n">
        <f aca="false">SUM(L150:L153)</f>
        <v>14382.5</v>
      </c>
      <c r="M154" s="107" t="n">
        <f aca="false">SUM(M150:M153)</f>
        <v>16827.525</v>
      </c>
      <c r="N154" s="107" t="n">
        <f aca="false">SUM(N150:N153)</f>
        <v>18678.55275</v>
      </c>
      <c r="O154" s="107" t="n">
        <f aca="false">SUM(O150:O153)</f>
        <v>20359.6224975</v>
      </c>
      <c r="P154" s="108" t="n">
        <f aca="false">SUM(P150:P153)</f>
        <v>21784.796072325</v>
      </c>
    </row>
    <row r="155" customFormat="false" ht="15" hidden="false" customHeight="false" outlineLevel="0" collapsed="false">
      <c r="B155" s="7"/>
      <c r="C155" s="8"/>
      <c r="D155" s="8"/>
      <c r="E155" s="8"/>
      <c r="G155" s="8"/>
      <c r="H155" s="9"/>
      <c r="I155" s="8"/>
      <c r="J155" s="8"/>
      <c r="K155" s="9"/>
      <c r="L155" s="8"/>
      <c r="M155" s="8"/>
      <c r="N155" s="8"/>
      <c r="O155" s="8"/>
      <c r="P155" s="9"/>
    </row>
    <row r="156" customFormat="false" ht="15" hidden="false" customHeight="false" outlineLevel="0" collapsed="false">
      <c r="B156" s="10" t="s">
        <v>107</v>
      </c>
      <c r="C156" s="8"/>
      <c r="D156" s="8"/>
      <c r="E156" s="8"/>
      <c r="G156" s="8"/>
      <c r="H156" s="9"/>
      <c r="I156" s="8"/>
      <c r="J156" s="8"/>
      <c r="K156" s="9"/>
      <c r="L156" s="8"/>
      <c r="M156" s="8"/>
      <c r="N156" s="8"/>
      <c r="O156" s="8"/>
      <c r="P156" s="9"/>
    </row>
    <row r="157" customFormat="false" ht="15" hidden="false" customHeight="false" outlineLevel="0" collapsed="false">
      <c r="B157" s="26" t="s">
        <v>105</v>
      </c>
      <c r="C157" s="8"/>
      <c r="D157" s="8"/>
      <c r="E157" s="30"/>
      <c r="G157" s="102" t="n">
        <f aca="false">'AAPL-3-Statements'!G123</f>
        <v>768</v>
      </c>
      <c r="H157" s="356" t="n">
        <f aca="false">'AAPL-3-Statements'!H123</f>
        <v>853</v>
      </c>
      <c r="I157" s="515" t="n">
        <v>0</v>
      </c>
      <c r="J157" s="30" t="n">
        <v>0</v>
      </c>
      <c r="K157" s="73" t="n">
        <f aca="false">H157-I157+J157</f>
        <v>853</v>
      </c>
      <c r="L157" s="20" t="n">
        <f aca="false">L103*L95</f>
        <v>1066.25</v>
      </c>
      <c r="M157" s="20" t="n">
        <f aca="false">M103*M95</f>
        <v>1247.5125</v>
      </c>
      <c r="N157" s="20" t="n">
        <f aca="false">N103*N95</f>
        <v>1384.738875</v>
      </c>
      <c r="O157" s="20" t="n">
        <f aca="false">O103*O95</f>
        <v>1509.36537375</v>
      </c>
      <c r="P157" s="73" t="n">
        <f aca="false">P103*P95</f>
        <v>1615.0209499125</v>
      </c>
    </row>
    <row r="158" customFormat="false" ht="15" hidden="false" customHeight="false" outlineLevel="0" collapsed="false">
      <c r="B158" s="26" t="s">
        <v>413</v>
      </c>
      <c r="C158" s="8"/>
      <c r="D158" s="8"/>
      <c r="E158" s="30"/>
      <c r="G158" s="102" t="n">
        <f aca="false">'AAPL-3-Statements'!G124</f>
        <v>0</v>
      </c>
      <c r="H158" s="356" t="n">
        <f aca="false">'AAPL-3-Statements'!H124</f>
        <v>0</v>
      </c>
      <c r="I158" s="515" t="n">
        <v>0</v>
      </c>
      <c r="J158" s="30" t="n">
        <v>0</v>
      </c>
      <c r="K158" s="73" t="n">
        <f aca="false">H158-I158+J158</f>
        <v>0</v>
      </c>
      <c r="L158" s="20" t="n">
        <f aca="false">K158</f>
        <v>0</v>
      </c>
      <c r="M158" s="20" t="n">
        <f aca="false">L158</f>
        <v>0</v>
      </c>
      <c r="N158" s="20" t="n">
        <f aca="false">M158</f>
        <v>0</v>
      </c>
      <c r="O158" s="20" t="n">
        <f aca="false">N158</f>
        <v>0</v>
      </c>
      <c r="P158" s="73" t="n">
        <f aca="false">O158</f>
        <v>0</v>
      </c>
    </row>
    <row r="159" customFormat="false" ht="15" hidden="false" customHeight="false" outlineLevel="0" collapsed="false">
      <c r="B159" s="396" t="str">
        <f aca="false">H36</f>
        <v>Term Loan A:</v>
      </c>
      <c r="C159" s="34"/>
      <c r="D159" s="34"/>
      <c r="E159" s="514"/>
      <c r="F159" s="34"/>
      <c r="G159" s="514" t="n">
        <v>0</v>
      </c>
      <c r="H159" s="517" t="n">
        <v>0</v>
      </c>
      <c r="I159" s="514" t="n">
        <v>0</v>
      </c>
      <c r="J159" s="499" t="n">
        <f aca="false">L29</f>
        <v>31641.6</v>
      </c>
      <c r="K159" s="500" t="n">
        <f aca="false">H159-I159+J159</f>
        <v>31641.6</v>
      </c>
      <c r="L159" s="499" t="n">
        <f aca="false">K159</f>
        <v>31641.6</v>
      </c>
      <c r="M159" s="499" t="n">
        <f aca="false">L159</f>
        <v>31641.6</v>
      </c>
      <c r="N159" s="499" t="n">
        <f aca="false">M159</f>
        <v>31641.6</v>
      </c>
      <c r="O159" s="499" t="n">
        <f aca="false">N159</f>
        <v>31641.6</v>
      </c>
      <c r="P159" s="500" t="n">
        <f aca="false">O159</f>
        <v>31641.6</v>
      </c>
    </row>
    <row r="160" customFormat="false" ht="15" hidden="false" customHeight="false" outlineLevel="0" collapsed="false">
      <c r="B160" s="26" t="str">
        <f aca="false">H37</f>
        <v>Term Loan B:</v>
      </c>
      <c r="C160" s="8"/>
      <c r="D160" s="8"/>
      <c r="E160" s="30"/>
      <c r="F160" s="8"/>
      <c r="G160" s="30" t="n">
        <v>0</v>
      </c>
      <c r="H160" s="15" t="n">
        <v>0</v>
      </c>
      <c r="I160" s="30" t="n">
        <v>0</v>
      </c>
      <c r="J160" s="20" t="n">
        <f aca="false">L30</f>
        <v>23731.2</v>
      </c>
      <c r="K160" s="73" t="n">
        <f aca="false">H160-I160+J160</f>
        <v>23731.2</v>
      </c>
      <c r="L160" s="20" t="n">
        <f aca="false">K160</f>
        <v>23731.2</v>
      </c>
      <c r="M160" s="20" t="n">
        <f aca="false">L160</f>
        <v>23731.2</v>
      </c>
      <c r="N160" s="20" t="n">
        <f aca="false">M160</f>
        <v>23731.2</v>
      </c>
      <c r="O160" s="20" t="n">
        <f aca="false">N160</f>
        <v>23731.2</v>
      </c>
      <c r="P160" s="73" t="n">
        <f aca="false">O160</f>
        <v>23731.2</v>
      </c>
    </row>
    <row r="161" customFormat="false" ht="15" hidden="false" customHeight="false" outlineLevel="0" collapsed="false">
      <c r="B161" s="26" t="str">
        <f aca="false">H38</f>
        <v>Subordinated Note:</v>
      </c>
      <c r="C161" s="8"/>
      <c r="D161" s="8"/>
      <c r="E161" s="30"/>
      <c r="F161" s="8"/>
      <c r="G161" s="30" t="n">
        <v>0</v>
      </c>
      <c r="H161" s="15" t="n">
        <v>0</v>
      </c>
      <c r="I161" s="30" t="n">
        <v>0</v>
      </c>
      <c r="J161" s="20" t="n">
        <f aca="false">L31</f>
        <v>15820.8</v>
      </c>
      <c r="K161" s="73" t="n">
        <f aca="false">H161-I161+J161</f>
        <v>15820.8</v>
      </c>
      <c r="L161" s="20" t="n">
        <f aca="false">K161</f>
        <v>15820.8</v>
      </c>
      <c r="M161" s="20" t="n">
        <f aca="false">L161</f>
        <v>15820.8</v>
      </c>
      <c r="N161" s="20" t="n">
        <f aca="false">M161</f>
        <v>15820.8</v>
      </c>
      <c r="O161" s="20" t="n">
        <f aca="false">N161</f>
        <v>15820.8</v>
      </c>
      <c r="P161" s="73" t="n">
        <f aca="false">O161</f>
        <v>15820.8</v>
      </c>
    </row>
    <row r="162" customFormat="false" ht="15" hidden="false" customHeight="false" outlineLevel="0" collapsed="false">
      <c r="B162" s="26" t="str">
        <f aca="false">H39</f>
        <v>PIK Loan:</v>
      </c>
      <c r="C162" s="8"/>
      <c r="D162" s="8"/>
      <c r="E162" s="30"/>
      <c r="F162" s="8"/>
      <c r="G162" s="30" t="n">
        <v>0</v>
      </c>
      <c r="H162" s="15" t="n">
        <v>0</v>
      </c>
      <c r="I162" s="30" t="n">
        <v>0</v>
      </c>
      <c r="J162" s="20" t="n">
        <f aca="false">L32</f>
        <v>7910.4</v>
      </c>
      <c r="K162" s="73" t="n">
        <f aca="false">H162-I162+J162</f>
        <v>7910.4</v>
      </c>
      <c r="L162" s="20" t="n">
        <f aca="false">K162</f>
        <v>7910.4</v>
      </c>
      <c r="M162" s="20" t="n">
        <f aca="false">L162</f>
        <v>7910.4</v>
      </c>
      <c r="N162" s="20" t="n">
        <f aca="false">M162</f>
        <v>7910.4</v>
      </c>
      <c r="O162" s="20" t="n">
        <f aca="false">N162</f>
        <v>7910.4</v>
      </c>
      <c r="P162" s="73" t="n">
        <f aca="false">O162</f>
        <v>7910.4</v>
      </c>
    </row>
    <row r="163" customFormat="false" ht="15" hidden="false" customHeight="false" outlineLevel="0" collapsed="false">
      <c r="B163" s="399" t="s">
        <v>414</v>
      </c>
      <c r="C163" s="45"/>
      <c r="D163" s="45"/>
      <c r="E163" s="516"/>
      <c r="F163" s="45"/>
      <c r="G163" s="516" t="n">
        <v>0</v>
      </c>
      <c r="H163" s="518" t="n">
        <v>0</v>
      </c>
      <c r="I163" s="516" t="n">
        <v>0</v>
      </c>
      <c r="J163" s="504" t="n">
        <f aca="false">F63</f>
        <v>10946.0955167554</v>
      </c>
      <c r="K163" s="505" t="n">
        <f aca="false">H163-I163+J163</f>
        <v>10946.0955167554</v>
      </c>
      <c r="L163" s="504" t="n">
        <f aca="false">K163</f>
        <v>10946.0955167554</v>
      </c>
      <c r="M163" s="504" t="n">
        <f aca="false">L163</f>
        <v>10946.0955167554</v>
      </c>
      <c r="N163" s="504" t="n">
        <f aca="false">M163</f>
        <v>10946.0955167554</v>
      </c>
      <c r="O163" s="504" t="n">
        <f aca="false">N163</f>
        <v>10946.0955167554</v>
      </c>
      <c r="P163" s="505" t="n">
        <f aca="false">O163</f>
        <v>10946.0955167554</v>
      </c>
    </row>
    <row r="164" customFormat="false" ht="15" hidden="false" customHeight="false" outlineLevel="0" collapsed="false">
      <c r="B164" s="26" t="s">
        <v>109</v>
      </c>
      <c r="C164" s="8"/>
      <c r="D164" s="8"/>
      <c r="E164" s="30"/>
      <c r="G164" s="102" t="n">
        <f aca="false">'AAPL-3-Statements'!G125</f>
        <v>1745</v>
      </c>
      <c r="H164" s="356" t="n">
        <f aca="false">'AAPL-3-Statements'!H125</f>
        <v>3502</v>
      </c>
      <c r="I164" s="515" t="n">
        <v>0</v>
      </c>
      <c r="J164" s="30" t="n">
        <v>0</v>
      </c>
      <c r="K164" s="73" t="n">
        <f aca="false">H164-I164+J164</f>
        <v>3502</v>
      </c>
      <c r="L164" s="20" t="n">
        <f aca="false">K164</f>
        <v>3502</v>
      </c>
      <c r="M164" s="20" t="n">
        <f aca="false">L164</f>
        <v>3502</v>
      </c>
      <c r="N164" s="20" t="n">
        <f aca="false">M164</f>
        <v>3502</v>
      </c>
      <c r="O164" s="20" t="n">
        <f aca="false">N164</f>
        <v>3502</v>
      </c>
      <c r="P164" s="73" t="n">
        <f aca="false">O164</f>
        <v>3502</v>
      </c>
    </row>
    <row r="165" customFormat="false" ht="15" hidden="false" customHeight="false" outlineLevel="0" collapsed="false">
      <c r="B165" s="104" t="s">
        <v>110</v>
      </c>
      <c r="C165" s="34"/>
      <c r="D165" s="34"/>
      <c r="E165" s="107"/>
      <c r="F165" s="34"/>
      <c r="G165" s="107" t="n">
        <f aca="false">SUM(G157:G164)+G154</f>
        <v>13874</v>
      </c>
      <c r="H165" s="108" t="n">
        <f aca="false">SUM(H157:H164)+H154</f>
        <v>15861</v>
      </c>
      <c r="I165" s="107"/>
      <c r="J165" s="107"/>
      <c r="K165" s="108" t="n">
        <f aca="false">SUM(K157:K164)+K154</f>
        <v>105911.095516755</v>
      </c>
      <c r="L165" s="107" t="n">
        <f aca="false">SUM(L157:L164)+L154</f>
        <v>109000.845516755</v>
      </c>
      <c r="M165" s="107" t="n">
        <f aca="false">SUM(M157:M164)+M154</f>
        <v>111627.133016755</v>
      </c>
      <c r="N165" s="107" t="n">
        <f aca="false">SUM(N157:N164)+N154</f>
        <v>113615.387141755</v>
      </c>
      <c r="O165" s="107" t="n">
        <f aca="false">SUM(O157:O164)+O154</f>
        <v>115421.083388005</v>
      </c>
      <c r="P165" s="108" t="n">
        <f aca="false">SUM(P157:P164)+P154</f>
        <v>116951.912538993</v>
      </c>
    </row>
    <row r="166" customFormat="false" ht="15" hidden="false" customHeight="false" outlineLevel="0" collapsed="false">
      <c r="B166" s="7"/>
      <c r="C166" s="8"/>
      <c r="D166" s="8"/>
      <c r="E166" s="8"/>
      <c r="G166" s="8"/>
      <c r="H166" s="9"/>
      <c r="I166" s="8"/>
      <c r="J166" s="8"/>
      <c r="K166" s="9"/>
      <c r="L166" s="8"/>
      <c r="M166" s="8"/>
      <c r="N166" s="8"/>
      <c r="O166" s="8"/>
      <c r="P166" s="9"/>
    </row>
    <row r="167" customFormat="false" ht="15" hidden="false" customHeight="false" outlineLevel="0" collapsed="false">
      <c r="B167" s="10" t="s">
        <v>111</v>
      </c>
      <c r="C167" s="8"/>
      <c r="D167" s="8"/>
      <c r="E167" s="8"/>
      <c r="G167" s="8"/>
      <c r="H167" s="9"/>
      <c r="I167" s="8"/>
      <c r="J167" s="8"/>
      <c r="K167" s="9"/>
      <c r="L167" s="8"/>
      <c r="M167" s="8"/>
      <c r="N167" s="8"/>
      <c r="O167" s="8"/>
      <c r="P167" s="9"/>
    </row>
    <row r="168" customFormat="false" ht="15" hidden="false" customHeight="false" outlineLevel="0" collapsed="false">
      <c r="B168" s="26" t="s">
        <v>112</v>
      </c>
      <c r="C168" s="8"/>
      <c r="D168" s="8"/>
      <c r="E168" s="30"/>
      <c r="G168" s="102" t="n">
        <f aca="false">'AAPL-3-Statements'!G129</f>
        <v>7177</v>
      </c>
      <c r="H168" s="356" t="n">
        <f aca="false">'AAPL-3-Statements'!H129</f>
        <v>7177</v>
      </c>
      <c r="I168" s="20" t="n">
        <f aca="false">H168</f>
        <v>7177</v>
      </c>
      <c r="J168" s="30" t="n">
        <v>0</v>
      </c>
      <c r="K168" s="73" t="n">
        <f aca="false">H168-I168+J168</f>
        <v>0</v>
      </c>
      <c r="L168" s="20" t="n">
        <f aca="false">K168</f>
        <v>0</v>
      </c>
      <c r="M168" s="20" t="n">
        <f aca="false">L168</f>
        <v>0</v>
      </c>
      <c r="N168" s="20" t="n">
        <f aca="false">M168</f>
        <v>0</v>
      </c>
      <c r="O168" s="20" t="n">
        <f aca="false">N168</f>
        <v>0</v>
      </c>
      <c r="P168" s="73" t="n">
        <f aca="false">O168</f>
        <v>0</v>
      </c>
    </row>
    <row r="169" customFormat="false" ht="15" hidden="false" customHeight="false" outlineLevel="0" collapsed="false">
      <c r="B169" s="26" t="s">
        <v>113</v>
      </c>
      <c r="C169" s="8"/>
      <c r="D169" s="8"/>
      <c r="E169" s="30"/>
      <c r="G169" s="102" t="n">
        <f aca="false">'AAPL-3-Statements'!G130</f>
        <v>0</v>
      </c>
      <c r="H169" s="356" t="n">
        <f aca="false">'AAPL-3-Statements'!H130</f>
        <v>1185</v>
      </c>
      <c r="I169" s="20" t="n">
        <f aca="false">H169</f>
        <v>1185</v>
      </c>
      <c r="J169" s="30" t="n">
        <v>0</v>
      </c>
      <c r="K169" s="73" t="n">
        <f aca="false">H169-I169+J169</f>
        <v>0</v>
      </c>
      <c r="L169" s="20" t="n">
        <f aca="false">K169+L191</f>
        <v>887.5</v>
      </c>
      <c r="M169" s="20" t="n">
        <f aca="false">L169+M191</f>
        <v>1925.875</v>
      </c>
      <c r="N169" s="20" t="n">
        <f aca="false">M169+N191</f>
        <v>3078.47125</v>
      </c>
      <c r="O169" s="20" t="n">
        <f aca="false">N169+O191</f>
        <v>4334.8011625</v>
      </c>
      <c r="P169" s="73" t="n">
        <f aca="false">O169+P191</f>
        <v>5679.074168875</v>
      </c>
    </row>
    <row r="170" customFormat="false" ht="15" hidden="false" customHeight="false" outlineLevel="0" collapsed="false">
      <c r="B170" s="26" t="s">
        <v>114</v>
      </c>
      <c r="C170" s="8"/>
      <c r="D170" s="8"/>
      <c r="E170" s="30"/>
      <c r="G170" s="102" t="n">
        <f aca="false">'AAPL-3-Statements'!G131</f>
        <v>0</v>
      </c>
      <c r="H170" s="356" t="n">
        <f aca="false">'AAPL-3-Statements'!H131</f>
        <v>0</v>
      </c>
      <c r="I170" s="20" t="n">
        <f aca="false">H170</f>
        <v>0</v>
      </c>
      <c r="J170" s="30" t="n">
        <v>0</v>
      </c>
      <c r="K170" s="73" t="n">
        <f aca="false">H170-I170+J170</f>
        <v>0</v>
      </c>
      <c r="L170" s="20" t="n">
        <f aca="false">K170</f>
        <v>0</v>
      </c>
      <c r="M170" s="20" t="n">
        <f aca="false">L170</f>
        <v>0</v>
      </c>
      <c r="N170" s="20" t="n">
        <f aca="false">M170</f>
        <v>0</v>
      </c>
      <c r="O170" s="20" t="n">
        <f aca="false">N170</f>
        <v>0</v>
      </c>
      <c r="P170" s="73" t="n">
        <f aca="false">O170</f>
        <v>0</v>
      </c>
    </row>
    <row r="171" customFormat="false" ht="15" hidden="false" customHeight="false" outlineLevel="0" collapsed="false">
      <c r="B171" s="389" t="s">
        <v>415</v>
      </c>
      <c r="C171" s="390"/>
      <c r="D171" s="390"/>
      <c r="E171" s="510"/>
      <c r="F171" s="390"/>
      <c r="G171" s="510" t="n">
        <v>0</v>
      </c>
      <c r="H171" s="511" t="n">
        <v>0</v>
      </c>
      <c r="I171" s="510" t="n">
        <v>0</v>
      </c>
      <c r="J171" s="391" t="n">
        <f aca="false">F49</f>
        <v>132151.630364312</v>
      </c>
      <c r="K171" s="392" t="n">
        <f aca="false">H171-I171+J171</f>
        <v>132151.630364312</v>
      </c>
      <c r="L171" s="391" t="n">
        <f aca="false">K171</f>
        <v>132151.630364312</v>
      </c>
      <c r="M171" s="391" t="n">
        <f aca="false">L171</f>
        <v>132151.630364312</v>
      </c>
      <c r="N171" s="391" t="n">
        <f aca="false">M171</f>
        <v>132151.630364312</v>
      </c>
      <c r="O171" s="391" t="n">
        <f aca="false">N171</f>
        <v>132151.630364312</v>
      </c>
      <c r="P171" s="392" t="n">
        <f aca="false">O171</f>
        <v>132151.630364312</v>
      </c>
    </row>
    <row r="172" customFormat="false" ht="15" hidden="false" customHeight="false" outlineLevel="0" collapsed="false">
      <c r="B172" s="26" t="s">
        <v>115</v>
      </c>
      <c r="C172" s="8"/>
      <c r="D172" s="8"/>
      <c r="E172" s="30"/>
      <c r="G172" s="102" t="n">
        <f aca="false">'AAPL-3-Statements'!G132</f>
        <v>15129</v>
      </c>
      <c r="H172" s="497" t="n">
        <f aca="false">'AAPL-3-Statements'!H132</f>
        <v>23364</v>
      </c>
      <c r="I172" s="20" t="n">
        <f aca="false">H172+L47+L49</f>
        <v>23416.5426850559</v>
      </c>
      <c r="J172" s="30" t="n">
        <v>0</v>
      </c>
      <c r="K172" s="73" t="n">
        <f aca="false">H172-I172+J172</f>
        <v>-52.5426850558506</v>
      </c>
      <c r="L172" s="20" t="n">
        <f aca="false">K172+L123</f>
        <v>10191.9573149442</v>
      </c>
      <c r="M172" s="20" t="n">
        <f aca="false">L172+M123</f>
        <v>22184.8823149442</v>
      </c>
      <c r="N172" s="20" t="n">
        <f aca="false">M172+N123</f>
        <v>35506.1780649442</v>
      </c>
      <c r="O172" s="20" t="n">
        <f aca="false">N172+O123</f>
        <v>50038.6544324442</v>
      </c>
      <c r="P172" s="73" t="n">
        <f aca="false">O172+P123</f>
        <v>65591.1411456692</v>
      </c>
    </row>
    <row r="173" customFormat="false" ht="15" hidden="false" customHeight="false" outlineLevel="0" collapsed="false">
      <c r="B173" s="26" t="s">
        <v>116</v>
      </c>
      <c r="C173" s="8"/>
      <c r="D173" s="8"/>
      <c r="E173" s="30"/>
      <c r="G173" s="102" t="n">
        <f aca="false">'AAPL-3-Statements'!G133</f>
        <v>-9</v>
      </c>
      <c r="H173" s="502" t="n">
        <f aca="false">'AAPL-3-Statements'!H133</f>
        <v>179</v>
      </c>
      <c r="I173" s="20" t="n">
        <f aca="false">H173</f>
        <v>179</v>
      </c>
      <c r="J173" s="30" t="n">
        <v>0</v>
      </c>
      <c r="K173" s="73" t="n">
        <f aca="false">H173-I173+J173</f>
        <v>0</v>
      </c>
      <c r="L173" s="20" t="n">
        <f aca="false">K173</f>
        <v>0</v>
      </c>
      <c r="M173" s="20" t="n">
        <f aca="false">L173</f>
        <v>0</v>
      </c>
      <c r="N173" s="20" t="n">
        <f aca="false">M173</f>
        <v>0</v>
      </c>
      <c r="O173" s="20" t="n">
        <f aca="false">N173</f>
        <v>0</v>
      </c>
      <c r="P173" s="73" t="n">
        <f aca="false">O173</f>
        <v>0</v>
      </c>
    </row>
    <row r="174" customFormat="false" ht="15" hidden="false" customHeight="false" outlineLevel="0" collapsed="false">
      <c r="B174" s="104" t="s">
        <v>117</v>
      </c>
      <c r="C174" s="34"/>
      <c r="D174" s="34"/>
      <c r="E174" s="107"/>
      <c r="F174" s="34"/>
      <c r="G174" s="107" t="n">
        <f aca="false">SUM(G168:G173)</f>
        <v>22297</v>
      </c>
      <c r="H174" s="108" t="n">
        <f aca="false">SUM(H168:H173)</f>
        <v>31905</v>
      </c>
      <c r="I174" s="107"/>
      <c r="J174" s="107"/>
      <c r="K174" s="108" t="n">
        <f aca="false">SUM(K168:K173)</f>
        <v>132099.087679256</v>
      </c>
      <c r="L174" s="107" t="n">
        <f aca="false">SUM(L168:L173)</f>
        <v>143231.087679256</v>
      </c>
      <c r="M174" s="107" t="n">
        <f aca="false">SUM(M168:M173)</f>
        <v>156262.387679256</v>
      </c>
      <c r="N174" s="107" t="n">
        <f aca="false">SUM(N168:N173)</f>
        <v>170736.279679256</v>
      </c>
      <c r="O174" s="107" t="n">
        <f aca="false">SUM(O168:O173)</f>
        <v>186525.085959256</v>
      </c>
      <c r="P174" s="108" t="n">
        <f aca="false">SUM(P168:P173)</f>
        <v>203421.845678856</v>
      </c>
    </row>
    <row r="175" customFormat="false" ht="15" hidden="false" customHeight="false" outlineLevel="0" collapsed="false">
      <c r="B175" s="7"/>
      <c r="C175" s="8"/>
      <c r="D175" s="8"/>
      <c r="E175" s="8"/>
      <c r="G175" s="8"/>
      <c r="H175" s="9"/>
      <c r="I175" s="8"/>
      <c r="J175" s="8"/>
      <c r="K175" s="9"/>
      <c r="L175" s="8"/>
      <c r="M175" s="8"/>
      <c r="N175" s="8"/>
      <c r="O175" s="8"/>
      <c r="P175" s="9"/>
    </row>
    <row r="176" customFormat="false" ht="15" hidden="false" customHeight="false" outlineLevel="0" collapsed="false">
      <c r="B176" s="44" t="s">
        <v>118</v>
      </c>
      <c r="C176" s="45"/>
      <c r="D176" s="45"/>
      <c r="E176" s="120"/>
      <c r="F176" s="45"/>
      <c r="G176" s="120" t="n">
        <f aca="false">G174+G165</f>
        <v>36171</v>
      </c>
      <c r="H176" s="121" t="n">
        <f aca="false">H174+H165</f>
        <v>47766</v>
      </c>
      <c r="I176" s="120"/>
      <c r="J176" s="120"/>
      <c r="K176" s="121" t="n">
        <f aca="false">K174+K165</f>
        <v>238010.183196011</v>
      </c>
      <c r="L176" s="120" t="n">
        <f aca="false">L174+L165</f>
        <v>252231.933196011</v>
      </c>
      <c r="M176" s="120" t="n">
        <f aca="false">M174+M165</f>
        <v>267889.520696011</v>
      </c>
      <c r="N176" s="120" t="n">
        <f aca="false">N174+N165</f>
        <v>284351.666821011</v>
      </c>
      <c r="O176" s="120" t="n">
        <f aca="false">O174+O165</f>
        <v>301946.169347261</v>
      </c>
      <c r="P176" s="121" t="n">
        <f aca="false">P174+P165</f>
        <v>320373.758217849</v>
      </c>
    </row>
    <row r="178" customFormat="false" ht="15" hidden="false" customHeight="false" outlineLevel="0" collapsed="false">
      <c r="B178" s="1" t="s">
        <v>119</v>
      </c>
      <c r="G178" s="519" t="n">
        <f aca="false">G146-G176</f>
        <v>0</v>
      </c>
      <c r="H178" s="519" t="n">
        <f aca="false">H146-H176</f>
        <v>0</v>
      </c>
      <c r="I178" s="520"/>
      <c r="J178" s="520"/>
      <c r="K178" s="519" t="n">
        <f aca="false">K146-K176</f>
        <v>0</v>
      </c>
      <c r="L178" s="519" t="n">
        <f aca="false">L146-L176</f>
        <v>0</v>
      </c>
      <c r="M178" s="519" t="n">
        <f aca="false">M146-M176</f>
        <v>0</v>
      </c>
      <c r="N178" s="519" t="n">
        <f aca="false">N146-N176</f>
        <v>0</v>
      </c>
      <c r="O178" s="519" t="n">
        <f aca="false">O146-O176</f>
        <v>0</v>
      </c>
      <c r="P178" s="519" t="n">
        <f aca="false">P146-P176</f>
        <v>0</v>
      </c>
    </row>
    <row r="180" customFormat="false" ht="15" hidden="false" customHeight="false" outlineLevel="0" collapsed="false">
      <c r="B180" s="3" t="s">
        <v>120</v>
      </c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6"/>
    </row>
    <row r="181" customFormat="false" ht="15" hidden="false" customHeight="false" outlineLevel="0" collapsed="false">
      <c r="B181" s="7"/>
      <c r="C181" s="8"/>
      <c r="F181" s="490" t="str">
        <f aca="false">$F$73</f>
        <v>Historical</v>
      </c>
      <c r="G181" s="490"/>
      <c r="H181" s="490"/>
      <c r="I181" s="491" t="str">
        <f aca="false">$I$73</f>
        <v>Transaction Adjustments</v>
      </c>
      <c r="J181" s="491"/>
      <c r="K181" s="491"/>
      <c r="L181" s="492" t="str">
        <f aca="false">$L$73</f>
        <v>Projections</v>
      </c>
      <c r="M181" s="492"/>
      <c r="N181" s="492"/>
      <c r="O181" s="492"/>
      <c r="P181" s="492"/>
    </row>
    <row r="182" customFormat="false" ht="15" hidden="false" customHeight="false" outlineLevel="0" collapsed="false">
      <c r="B182" s="7"/>
      <c r="C182" s="8"/>
      <c r="F182" s="38" t="str">
        <f aca="false">$F$74</f>
        <v>FY 2007</v>
      </c>
      <c r="G182" s="38" t="str">
        <f aca="false">$G$74</f>
        <v>FY 2008</v>
      </c>
      <c r="H182" s="39" t="str">
        <f aca="false">$H$74</f>
        <v>FY 2009</v>
      </c>
      <c r="I182" s="38" t="str">
        <f aca="false">$I$74</f>
        <v>Debit</v>
      </c>
      <c r="J182" s="38" t="str">
        <f aca="false">$J$74</f>
        <v>Credit</v>
      </c>
      <c r="K182" s="38" t="str">
        <f aca="false">$K$74</f>
        <v>FY 2009</v>
      </c>
      <c r="L182" s="493" t="str">
        <f aca="false">$L$74</f>
        <v>FY 2010E</v>
      </c>
      <c r="M182" s="38" t="str">
        <f aca="false">$M$74</f>
        <v>FY 2011E</v>
      </c>
      <c r="N182" s="38" t="str">
        <f aca="false">$N$74</f>
        <v>FY 2012E</v>
      </c>
      <c r="O182" s="38" t="str">
        <f aca="false">$O$74</f>
        <v>FY 2013E</v>
      </c>
      <c r="P182" s="39" t="str">
        <f aca="false">$P$74</f>
        <v>FY 2014E</v>
      </c>
    </row>
    <row r="183" customFormat="false" ht="15" hidden="false" customHeight="false" outlineLevel="0" collapsed="false">
      <c r="B183" s="96"/>
      <c r="C183" s="23"/>
      <c r="D183" s="22"/>
      <c r="E183" s="22"/>
      <c r="H183" s="67"/>
      <c r="I183" s="494"/>
      <c r="J183" s="494"/>
      <c r="K183" s="67"/>
      <c r="P183" s="9"/>
    </row>
    <row r="184" customFormat="false" ht="15" hidden="false" customHeight="false" outlineLevel="0" collapsed="false">
      <c r="B184" s="10" t="s">
        <v>78</v>
      </c>
      <c r="F184" s="70"/>
      <c r="G184" s="70"/>
      <c r="H184" s="71"/>
      <c r="I184" s="70"/>
      <c r="J184" s="70"/>
      <c r="K184" s="71"/>
      <c r="L184" s="70" t="n">
        <f aca="false">L123</f>
        <v>10244.5</v>
      </c>
      <c r="M184" s="70" t="n">
        <f aca="false">M123</f>
        <v>11992.925</v>
      </c>
      <c r="N184" s="70" t="n">
        <f aca="false">N123</f>
        <v>13321.29575</v>
      </c>
      <c r="O184" s="70" t="n">
        <f aca="false">O123</f>
        <v>14532.4763675</v>
      </c>
      <c r="P184" s="71" t="n">
        <f aca="false">P123</f>
        <v>15552.486713225</v>
      </c>
    </row>
    <row r="185" customFormat="false" ht="15" hidden="false" customHeight="false" outlineLevel="0" collapsed="false">
      <c r="B185" s="26" t="s">
        <v>70</v>
      </c>
      <c r="C185" s="8"/>
      <c r="D185" s="8"/>
      <c r="E185" s="102"/>
      <c r="F185" s="20"/>
      <c r="G185" s="20"/>
      <c r="H185" s="73"/>
      <c r="I185" s="20"/>
      <c r="J185" s="20"/>
      <c r="K185" s="73"/>
      <c r="L185" s="20" t="n">
        <f aca="false">L111</f>
        <v>917.5</v>
      </c>
      <c r="M185" s="20" t="n">
        <f aca="false">M111</f>
        <v>1073.475</v>
      </c>
      <c r="N185" s="20" t="n">
        <f aca="false">N111</f>
        <v>1191.55725</v>
      </c>
      <c r="O185" s="20" t="n">
        <f aca="false">O111</f>
        <v>1298.7974025</v>
      </c>
      <c r="P185" s="505" t="n">
        <f aca="false">P111</f>
        <v>1389.713220675</v>
      </c>
    </row>
    <row r="186" customFormat="false" ht="15" hidden="false" customHeight="false" outlineLevel="0" collapsed="false">
      <c r="B186" s="396" t="s">
        <v>410</v>
      </c>
      <c r="C186" s="34"/>
      <c r="D186" s="34"/>
      <c r="E186" s="34"/>
      <c r="F186" s="496"/>
      <c r="G186" s="496"/>
      <c r="H186" s="497"/>
      <c r="I186" s="496"/>
      <c r="J186" s="496"/>
      <c r="K186" s="496"/>
      <c r="L186" s="498"/>
      <c r="M186" s="499"/>
      <c r="N186" s="499"/>
      <c r="O186" s="499"/>
      <c r="P186" s="500"/>
    </row>
    <row r="187" customFormat="false" ht="15" hidden="false" customHeight="false" outlineLevel="0" collapsed="false">
      <c r="B187" s="26" t="s">
        <v>411</v>
      </c>
      <c r="C187" s="8"/>
      <c r="D187" s="8"/>
      <c r="E187" s="8"/>
      <c r="F187" s="102"/>
      <c r="G187" s="102"/>
      <c r="H187" s="356"/>
      <c r="I187" s="102"/>
      <c r="J187" s="102"/>
      <c r="K187" s="102"/>
      <c r="L187" s="124"/>
      <c r="M187" s="20"/>
      <c r="N187" s="20"/>
      <c r="O187" s="20"/>
      <c r="P187" s="73"/>
    </row>
    <row r="188" customFormat="false" ht="15" hidden="false" customHeight="false" outlineLevel="0" collapsed="false">
      <c r="B188" s="26" t="s">
        <v>412</v>
      </c>
      <c r="C188" s="8"/>
      <c r="D188" s="8"/>
      <c r="E188" s="8"/>
      <c r="F188" s="102"/>
      <c r="G188" s="102"/>
      <c r="H188" s="356"/>
      <c r="I188" s="102"/>
      <c r="J188" s="102"/>
      <c r="K188" s="102"/>
      <c r="L188" s="124"/>
      <c r="M188" s="20"/>
      <c r="N188" s="20"/>
      <c r="O188" s="20"/>
      <c r="P188" s="73"/>
    </row>
    <row r="189" customFormat="false" ht="15" hidden="false" customHeight="false" outlineLevel="0" collapsed="false">
      <c r="B189" s="399" t="s">
        <v>416</v>
      </c>
      <c r="C189" s="45"/>
      <c r="D189" s="45"/>
      <c r="E189" s="45"/>
      <c r="F189" s="501"/>
      <c r="G189" s="501"/>
      <c r="H189" s="502"/>
      <c r="I189" s="501"/>
      <c r="J189" s="501"/>
      <c r="K189" s="502"/>
      <c r="L189" s="504"/>
      <c r="M189" s="504"/>
      <c r="N189" s="504"/>
      <c r="O189" s="504"/>
      <c r="P189" s="505"/>
    </row>
    <row r="190" customFormat="false" ht="15" hidden="false" customHeight="false" outlineLevel="0" collapsed="false">
      <c r="B190" s="26" t="s">
        <v>55</v>
      </c>
      <c r="C190" s="8"/>
      <c r="D190" s="8"/>
      <c r="E190" s="102"/>
      <c r="F190" s="20"/>
      <c r="G190" s="20"/>
      <c r="H190" s="73"/>
      <c r="I190" s="20"/>
      <c r="J190" s="20"/>
      <c r="K190" s="73"/>
      <c r="L190" s="20" t="n">
        <f aca="false">L115</f>
        <v>40</v>
      </c>
      <c r="M190" s="20" t="n">
        <f aca="false">M115</f>
        <v>37</v>
      </c>
      <c r="N190" s="20" t="n">
        <f aca="false">N115</f>
        <v>28</v>
      </c>
      <c r="O190" s="20" t="n">
        <f aca="false">O115</f>
        <v>13</v>
      </c>
      <c r="P190" s="500" t="n">
        <f aca="false">P115</f>
        <v>10</v>
      </c>
    </row>
    <row r="191" customFormat="false" ht="15" hidden="false" customHeight="false" outlineLevel="0" collapsed="false">
      <c r="B191" s="26" t="s">
        <v>71</v>
      </c>
      <c r="C191" s="8"/>
      <c r="D191" s="8"/>
      <c r="E191" s="75"/>
      <c r="F191" s="20"/>
      <c r="G191" s="20"/>
      <c r="H191" s="73"/>
      <c r="I191" s="20"/>
      <c r="J191" s="20"/>
      <c r="K191" s="73"/>
      <c r="L191" s="20" t="n">
        <f aca="false">L116</f>
        <v>887.5</v>
      </c>
      <c r="M191" s="20" t="n">
        <f aca="false">M116</f>
        <v>1038.375</v>
      </c>
      <c r="N191" s="20" t="n">
        <f aca="false">N116</f>
        <v>1152.59625</v>
      </c>
      <c r="O191" s="20" t="n">
        <f aca="false">O116</f>
        <v>1256.3299125</v>
      </c>
      <c r="P191" s="73" t="n">
        <f aca="false">P116</f>
        <v>1344.273006375</v>
      </c>
    </row>
    <row r="192" customFormat="false" ht="15" hidden="false" customHeight="false" outlineLevel="0" collapsed="false">
      <c r="B192" s="80" t="s">
        <v>124</v>
      </c>
      <c r="C192" s="8"/>
      <c r="D192" s="8"/>
      <c r="E192" s="75"/>
      <c r="F192" s="20"/>
      <c r="G192" s="20"/>
      <c r="H192" s="73"/>
      <c r="I192" s="20"/>
      <c r="J192" s="20"/>
      <c r="K192" s="73"/>
      <c r="L192" s="20"/>
      <c r="M192" s="20"/>
      <c r="N192" s="20"/>
      <c r="O192" s="20"/>
      <c r="P192" s="73"/>
    </row>
    <row r="193" customFormat="false" ht="15" hidden="false" customHeight="false" outlineLevel="0" collapsed="false">
      <c r="B193" s="26" t="s">
        <v>89</v>
      </c>
      <c r="C193" s="8"/>
      <c r="D193" s="8"/>
      <c r="E193" s="75"/>
      <c r="F193" s="20"/>
      <c r="G193" s="20"/>
      <c r="H193" s="73"/>
      <c r="I193" s="20"/>
      <c r="J193" s="20"/>
      <c r="K193" s="73"/>
      <c r="L193" s="20" t="n">
        <f aca="false">K133-L133</f>
        <v>-840.25</v>
      </c>
      <c r="M193" s="20" t="n">
        <f aca="false">L133-M133</f>
        <v>-714.2125</v>
      </c>
      <c r="N193" s="20" t="n">
        <f aca="false">M133-N133</f>
        <v>-540.700875000001</v>
      </c>
      <c r="O193" s="20" t="n">
        <f aca="false">N133-O133</f>
        <v>-491.05470375</v>
      </c>
      <c r="P193" s="73" t="n">
        <f aca="false">O133-P133</f>
        <v>-416.3052655125</v>
      </c>
    </row>
    <row r="194" customFormat="false" ht="15" hidden="false" customHeight="false" outlineLevel="0" collapsed="false">
      <c r="B194" s="26" t="s">
        <v>90</v>
      </c>
      <c r="C194" s="8"/>
      <c r="D194" s="8"/>
      <c r="E194" s="75"/>
      <c r="F194" s="20"/>
      <c r="G194" s="20"/>
      <c r="H194" s="73"/>
      <c r="I194" s="20"/>
      <c r="J194" s="20"/>
      <c r="K194" s="73"/>
      <c r="L194" s="20" t="n">
        <f aca="false">K134-L134</f>
        <v>-113.75</v>
      </c>
      <c r="M194" s="20" t="n">
        <f aca="false">L134-M134</f>
        <v>-96.6874999999999</v>
      </c>
      <c r="N194" s="20" t="n">
        <f aca="false">M134-N134</f>
        <v>-73.198125</v>
      </c>
      <c r="O194" s="20" t="n">
        <f aca="false">N134-O134</f>
        <v>-66.4772062500001</v>
      </c>
      <c r="P194" s="73" t="n">
        <f aca="false">O134-P134</f>
        <v>-56.3578981874999</v>
      </c>
    </row>
    <row r="195" customFormat="false" ht="15" hidden="false" customHeight="false" outlineLevel="0" collapsed="false">
      <c r="B195" s="26" t="s">
        <v>92</v>
      </c>
      <c r="C195" s="8"/>
      <c r="D195" s="8"/>
      <c r="E195" s="75"/>
      <c r="F195" s="20"/>
      <c r="G195" s="20"/>
      <c r="H195" s="73"/>
      <c r="I195" s="20"/>
      <c r="J195" s="20"/>
      <c r="K195" s="73"/>
      <c r="L195" s="20" t="n">
        <f aca="false">K136-L136</f>
        <v>0</v>
      </c>
      <c r="M195" s="20" t="n">
        <f aca="false">L136-M136</f>
        <v>0</v>
      </c>
      <c r="N195" s="20" t="n">
        <f aca="false">M136-N136</f>
        <v>0</v>
      </c>
      <c r="O195" s="20" t="n">
        <f aca="false">N136-O136</f>
        <v>0</v>
      </c>
      <c r="P195" s="73" t="n">
        <f aca="false">O136-P136</f>
        <v>0</v>
      </c>
    </row>
    <row r="196" customFormat="false" ht="15" hidden="false" customHeight="false" outlineLevel="0" collapsed="false">
      <c r="B196" s="112" t="s">
        <v>99</v>
      </c>
      <c r="C196" s="8"/>
      <c r="D196" s="8"/>
      <c r="E196" s="75"/>
      <c r="F196" s="20"/>
      <c r="G196" s="20"/>
      <c r="H196" s="73"/>
      <c r="I196" s="20"/>
      <c r="J196" s="20"/>
      <c r="K196" s="73"/>
      <c r="L196" s="20" t="n">
        <f aca="false">K145-L145</f>
        <v>0</v>
      </c>
      <c r="M196" s="20" t="n">
        <f aca="false">L145-M145</f>
        <v>0</v>
      </c>
      <c r="N196" s="20" t="n">
        <f aca="false">M145-N145</f>
        <v>0</v>
      </c>
      <c r="O196" s="20" t="n">
        <f aca="false">N145-O145</f>
        <v>0</v>
      </c>
      <c r="P196" s="73" t="n">
        <f aca="false">O145-P145</f>
        <v>0</v>
      </c>
    </row>
    <row r="197" customFormat="false" ht="15" hidden="false" customHeight="false" outlineLevel="0" collapsed="false">
      <c r="B197" s="26" t="s">
        <v>103</v>
      </c>
      <c r="C197" s="8"/>
      <c r="D197" s="8"/>
      <c r="E197" s="75"/>
      <c r="F197" s="20"/>
      <c r="G197" s="20"/>
      <c r="H197" s="73"/>
      <c r="I197" s="20"/>
      <c r="J197" s="20"/>
      <c r="K197" s="73"/>
      <c r="L197" s="20" t="n">
        <f aca="false">L151-K151</f>
        <v>1400.25</v>
      </c>
      <c r="M197" s="20" t="n">
        <f aca="false">M151-L151</f>
        <v>1190.2125</v>
      </c>
      <c r="N197" s="20" t="n">
        <f aca="false">N151-M151</f>
        <v>901.060875</v>
      </c>
      <c r="O197" s="20" t="n">
        <f aca="false">O151-N151</f>
        <v>818.327103750002</v>
      </c>
      <c r="P197" s="73" t="n">
        <f aca="false">P151-O151</f>
        <v>693.759533512499</v>
      </c>
    </row>
    <row r="198" customFormat="false" ht="15" hidden="false" customHeight="false" outlineLevel="0" collapsed="false">
      <c r="B198" s="26" t="s">
        <v>105</v>
      </c>
      <c r="C198" s="8"/>
      <c r="D198" s="8"/>
      <c r="E198" s="75"/>
      <c r="F198" s="20"/>
      <c r="G198" s="20"/>
      <c r="H198" s="73"/>
      <c r="I198" s="20"/>
      <c r="J198" s="20"/>
      <c r="K198" s="73"/>
      <c r="L198" s="20" t="n">
        <f aca="false">L153-K153+L157-K157</f>
        <v>726.5</v>
      </c>
      <c r="M198" s="20" t="n">
        <f aca="false">M153-L153+M157-L157</f>
        <v>617.525</v>
      </c>
      <c r="N198" s="20" t="n">
        <f aca="false">N153-M153+N157-M157</f>
        <v>467.50275</v>
      </c>
      <c r="O198" s="20" t="n">
        <f aca="false">O153-N153+O157-N157</f>
        <v>424.5774975</v>
      </c>
      <c r="P198" s="73" t="n">
        <f aca="false">P153-O153+P157-O157</f>
        <v>359.947367325</v>
      </c>
    </row>
    <row r="199" customFormat="false" ht="15" hidden="false" customHeight="false" outlineLevel="0" collapsed="false">
      <c r="B199" s="26" t="s">
        <v>125</v>
      </c>
      <c r="C199" s="8"/>
      <c r="D199" s="8"/>
      <c r="E199" s="75"/>
      <c r="F199" s="20"/>
      <c r="G199" s="20"/>
      <c r="H199" s="73"/>
      <c r="I199" s="20"/>
      <c r="J199" s="20"/>
      <c r="K199" s="73"/>
      <c r="L199" s="20" t="n">
        <f aca="false">L152-K152+L164-K164</f>
        <v>963</v>
      </c>
      <c r="M199" s="20" t="n">
        <f aca="false">M152-L152+M164-L164</f>
        <v>818.55</v>
      </c>
      <c r="N199" s="20" t="n">
        <f aca="false">N152-M152+N164-M164</f>
        <v>619.690500000001</v>
      </c>
      <c r="O199" s="20" t="n">
        <f aca="false">O152-N152+O164-N164</f>
        <v>562.791645</v>
      </c>
      <c r="P199" s="73" t="n">
        <f aca="false">P152-O152+P164-O164</f>
        <v>477.122250149999</v>
      </c>
    </row>
    <row r="200" customFormat="false" ht="15" hidden="false" customHeight="false" outlineLevel="0" collapsed="false">
      <c r="B200" s="78" t="s">
        <v>126</v>
      </c>
      <c r="C200" s="34"/>
      <c r="D200" s="34"/>
      <c r="E200" s="32"/>
      <c r="F200" s="499"/>
      <c r="G200" s="499"/>
      <c r="H200" s="500"/>
      <c r="I200" s="499"/>
      <c r="J200" s="499"/>
      <c r="K200" s="500"/>
      <c r="L200" s="107" t="n">
        <f aca="false">SUM(L184:L199)</f>
        <v>14225.25</v>
      </c>
      <c r="M200" s="107" t="n">
        <f aca="false">SUM(M184:M199)</f>
        <v>15957.1625</v>
      </c>
      <c r="N200" s="107" t="n">
        <f aca="false">SUM(N184:N199)</f>
        <v>17067.804375</v>
      </c>
      <c r="O200" s="107" t="n">
        <f aca="false">SUM(O184:O199)</f>
        <v>18348.76801875</v>
      </c>
      <c r="P200" s="108" t="n">
        <f aca="false">SUM(P184:P199)</f>
        <v>19354.6389275625</v>
      </c>
    </row>
    <row r="201" customFormat="false" ht="15" hidden="false" customHeight="false" outlineLevel="0" collapsed="false">
      <c r="B201" s="26"/>
      <c r="C201" s="8"/>
      <c r="D201" s="8"/>
      <c r="E201" s="75"/>
      <c r="F201" s="20"/>
      <c r="G201" s="20"/>
      <c r="H201" s="73"/>
      <c r="I201" s="20"/>
      <c r="J201" s="20"/>
      <c r="K201" s="73"/>
      <c r="L201" s="20"/>
      <c r="M201" s="20"/>
      <c r="N201" s="20"/>
      <c r="O201" s="20"/>
      <c r="P201" s="73"/>
    </row>
    <row r="202" customFormat="false" ht="15" hidden="false" customHeight="false" outlineLevel="0" collapsed="false">
      <c r="B202" s="26" t="s">
        <v>131</v>
      </c>
      <c r="C202" s="8"/>
      <c r="D202" s="8"/>
      <c r="E202" s="8"/>
      <c r="H202" s="9"/>
      <c r="I202" s="8"/>
      <c r="J202" s="8"/>
      <c r="K202" s="9"/>
      <c r="L202" s="27" t="n">
        <f aca="false">-L103*L97</f>
        <v>-1430</v>
      </c>
      <c r="M202" s="27" t="n">
        <f aca="false">-M103*M97</f>
        <v>-1673.1</v>
      </c>
      <c r="N202" s="27" t="n">
        <f aca="false">-N103*N97</f>
        <v>-1857.141</v>
      </c>
      <c r="O202" s="27" t="n">
        <f aca="false">-O103*O97</f>
        <v>-2024.28369</v>
      </c>
      <c r="P202" s="126" t="n">
        <f aca="false">-P103*P97</f>
        <v>-2165.9835483</v>
      </c>
    </row>
    <row r="203" customFormat="false" ht="15" hidden="false" customHeight="false" outlineLevel="0" collapsed="false">
      <c r="B203" s="26"/>
      <c r="C203" s="8"/>
      <c r="D203" s="8"/>
      <c r="E203" s="8"/>
      <c r="H203" s="9"/>
      <c r="I203" s="8"/>
      <c r="J203" s="8"/>
      <c r="K203" s="9"/>
      <c r="L203" s="29"/>
      <c r="P203" s="9"/>
    </row>
    <row r="204" customFormat="false" ht="15" hidden="false" customHeight="false" outlineLevel="0" collapsed="false">
      <c r="B204" s="80" t="s">
        <v>417</v>
      </c>
      <c r="C204" s="8"/>
      <c r="D204" s="8"/>
      <c r="E204" s="8"/>
      <c r="H204" s="9"/>
      <c r="I204" s="8"/>
      <c r="J204" s="8"/>
      <c r="K204" s="9"/>
      <c r="L204" s="70" t="n">
        <f aca="false">L202+L200</f>
        <v>12795.25</v>
      </c>
      <c r="M204" s="70" t="n">
        <f aca="false">M202+M200</f>
        <v>14284.0625</v>
      </c>
      <c r="N204" s="70" t="n">
        <f aca="false">N202+N200</f>
        <v>15210.663375</v>
      </c>
      <c r="O204" s="70" t="n">
        <f aca="false">O202+O200</f>
        <v>16324.48432875</v>
      </c>
      <c r="P204" s="71" t="n">
        <f aca="false">P202+P200</f>
        <v>17188.6553792625</v>
      </c>
    </row>
    <row r="205" customFormat="false" ht="15" hidden="false" customHeight="false" outlineLevel="0" collapsed="false">
      <c r="B205" s="26"/>
      <c r="C205" s="8"/>
      <c r="D205" s="8"/>
      <c r="E205" s="8"/>
      <c r="H205" s="9"/>
      <c r="I205" s="8"/>
      <c r="J205" s="8"/>
      <c r="K205" s="9"/>
      <c r="L205" s="29"/>
      <c r="P205" s="9"/>
    </row>
    <row r="206" customFormat="false" ht="15" hidden="false" customHeight="false" outlineLevel="0" collapsed="false">
      <c r="B206" s="396" t="str">
        <f aca="false">$H$28</f>
        <v>Revolver:</v>
      </c>
      <c r="C206" s="34"/>
      <c r="D206" s="34"/>
      <c r="E206" s="34"/>
      <c r="F206" s="34"/>
      <c r="G206" s="34"/>
      <c r="H206" s="99"/>
      <c r="I206" s="34"/>
      <c r="J206" s="34"/>
      <c r="K206" s="99"/>
      <c r="L206" s="521"/>
      <c r="M206" s="521"/>
      <c r="N206" s="521"/>
      <c r="O206" s="521"/>
      <c r="P206" s="522"/>
    </row>
    <row r="207" customFormat="false" ht="15" hidden="false" customHeight="false" outlineLevel="0" collapsed="false">
      <c r="B207" s="26" t="str">
        <f aca="false">$H$29</f>
        <v>Term Loan A:</v>
      </c>
      <c r="C207" s="8"/>
      <c r="D207" s="8"/>
      <c r="E207" s="8"/>
      <c r="F207" s="8"/>
      <c r="G207" s="8"/>
      <c r="H207" s="9"/>
      <c r="I207" s="8"/>
      <c r="J207" s="8"/>
      <c r="K207" s="9"/>
      <c r="L207" s="27"/>
      <c r="M207" s="27"/>
      <c r="N207" s="27"/>
      <c r="O207" s="27"/>
      <c r="P207" s="126"/>
    </row>
    <row r="208" customFormat="false" ht="15" hidden="false" customHeight="false" outlineLevel="0" collapsed="false">
      <c r="B208" s="26" t="str">
        <f aca="false">$H$30</f>
        <v>Term Loan B:</v>
      </c>
      <c r="C208" s="8"/>
      <c r="D208" s="8"/>
      <c r="E208" s="8"/>
      <c r="F208" s="8"/>
      <c r="G208" s="8"/>
      <c r="H208" s="9"/>
      <c r="I208" s="8"/>
      <c r="J208" s="8"/>
      <c r="K208" s="9"/>
      <c r="L208" s="27"/>
      <c r="M208" s="27"/>
      <c r="N208" s="27"/>
      <c r="O208" s="27"/>
      <c r="P208" s="126"/>
    </row>
    <row r="209" customFormat="false" ht="15" hidden="false" customHeight="false" outlineLevel="0" collapsed="false">
      <c r="B209" s="26" t="str">
        <f aca="false">$H$31</f>
        <v>Subordinated Note:</v>
      </c>
      <c r="C209" s="8"/>
      <c r="D209" s="8"/>
      <c r="E209" s="8"/>
      <c r="F209" s="8"/>
      <c r="G209" s="8"/>
      <c r="H209" s="9"/>
      <c r="I209" s="8"/>
      <c r="J209" s="8"/>
      <c r="K209" s="9"/>
      <c r="L209" s="27"/>
      <c r="M209" s="27"/>
      <c r="N209" s="27"/>
      <c r="O209" s="27"/>
      <c r="P209" s="126"/>
    </row>
    <row r="210" customFormat="false" ht="15" hidden="false" customHeight="false" outlineLevel="0" collapsed="false">
      <c r="B210" s="399" t="str">
        <f aca="false">$H$32</f>
        <v>PIK Loan:</v>
      </c>
      <c r="C210" s="45"/>
      <c r="D210" s="45"/>
      <c r="E210" s="45"/>
      <c r="F210" s="45"/>
      <c r="G210" s="45"/>
      <c r="H210" s="364"/>
      <c r="I210" s="45"/>
      <c r="J210" s="45"/>
      <c r="K210" s="364"/>
      <c r="L210" s="523"/>
      <c r="M210" s="523"/>
      <c r="N210" s="523"/>
      <c r="O210" s="523"/>
      <c r="P210" s="524"/>
    </row>
    <row r="211" customFormat="false" ht="15" hidden="false" customHeight="false" outlineLevel="0" collapsed="false">
      <c r="B211" s="525" t="s">
        <v>418</v>
      </c>
      <c r="C211" s="390"/>
      <c r="D211" s="390"/>
      <c r="E211" s="390"/>
      <c r="F211" s="390"/>
      <c r="G211" s="390"/>
      <c r="H211" s="456"/>
      <c r="I211" s="390"/>
      <c r="J211" s="390"/>
      <c r="K211" s="456"/>
      <c r="L211" s="435"/>
      <c r="M211" s="435"/>
      <c r="N211" s="435"/>
      <c r="O211" s="435"/>
      <c r="P211" s="457"/>
    </row>
    <row r="212" customFormat="false" ht="15" hidden="false" customHeight="false" outlineLevel="0" collapsed="false">
      <c r="B212" s="26"/>
      <c r="C212" s="8"/>
      <c r="D212" s="8"/>
      <c r="E212" s="8"/>
      <c r="H212" s="9"/>
      <c r="I212" s="8"/>
      <c r="J212" s="8"/>
      <c r="K212" s="9"/>
      <c r="L212" s="29"/>
      <c r="M212" s="29"/>
      <c r="N212" s="29"/>
      <c r="O212" s="29"/>
      <c r="P212" s="126"/>
    </row>
    <row r="213" customFormat="false" ht="15" hidden="false" customHeight="false" outlineLevel="0" collapsed="false">
      <c r="B213" s="526" t="s">
        <v>419</v>
      </c>
      <c r="C213" s="8"/>
      <c r="D213" s="8"/>
      <c r="E213" s="8"/>
      <c r="H213" s="9"/>
      <c r="I213" s="8"/>
      <c r="J213" s="8"/>
      <c r="K213" s="9"/>
      <c r="L213" s="519" t="n">
        <f aca="false">L211+L204</f>
        <v>12795.25</v>
      </c>
      <c r="M213" s="519" t="n">
        <f aca="false">M211+M204</f>
        <v>14284.0625</v>
      </c>
      <c r="N213" s="519" t="n">
        <f aca="false">N211+N204</f>
        <v>15210.663375</v>
      </c>
      <c r="O213" s="519" t="n">
        <f aca="false">O211+O204</f>
        <v>16324.48432875</v>
      </c>
      <c r="P213" s="76" t="n">
        <f aca="false">P211+P204</f>
        <v>17188.6553792625</v>
      </c>
    </row>
    <row r="214" customFormat="false" ht="15" hidden="false" customHeight="false" outlineLevel="0" collapsed="false">
      <c r="B214" s="26"/>
      <c r="C214" s="8"/>
      <c r="D214" s="8"/>
      <c r="E214" s="8"/>
      <c r="H214" s="9"/>
      <c r="I214" s="8"/>
      <c r="J214" s="8"/>
      <c r="K214" s="9"/>
      <c r="L214" s="29"/>
      <c r="M214" s="29"/>
      <c r="N214" s="29"/>
      <c r="O214" s="29"/>
      <c r="P214" s="126"/>
    </row>
    <row r="215" customFormat="false" ht="15" hidden="false" customHeight="false" outlineLevel="0" collapsed="false">
      <c r="B215" s="26" t="s">
        <v>365</v>
      </c>
      <c r="C215" s="8"/>
      <c r="D215" s="8"/>
      <c r="E215" s="8"/>
      <c r="H215" s="9"/>
      <c r="I215" s="8"/>
      <c r="J215" s="8"/>
      <c r="K215" s="9"/>
      <c r="L215" s="29" t="n">
        <f aca="false">K131</f>
        <v>5000</v>
      </c>
      <c r="M215" s="29" t="n">
        <f aca="false">L131</f>
        <v>17795.25</v>
      </c>
      <c r="N215" s="29" t="n">
        <f aca="false">M131</f>
        <v>32079.3125</v>
      </c>
      <c r="O215" s="29" t="n">
        <f aca="false">N131</f>
        <v>47289.975875</v>
      </c>
      <c r="P215" s="126" t="n">
        <f aca="false">O131</f>
        <v>63614.46020375</v>
      </c>
    </row>
    <row r="216" customFormat="false" ht="15" hidden="false" customHeight="false" outlineLevel="0" collapsed="false">
      <c r="B216" s="91" t="s">
        <v>371</v>
      </c>
      <c r="C216" s="45"/>
      <c r="D216" s="45"/>
      <c r="E216" s="45"/>
      <c r="F216" s="45"/>
      <c r="G216" s="45"/>
      <c r="H216" s="364"/>
      <c r="I216" s="45"/>
      <c r="J216" s="45"/>
      <c r="K216" s="364"/>
      <c r="L216" s="133" t="n">
        <f aca="false">L215+L213</f>
        <v>17795.25</v>
      </c>
      <c r="M216" s="133" t="n">
        <f aca="false">M215+M213</f>
        <v>32079.3125</v>
      </c>
      <c r="N216" s="133" t="n">
        <f aca="false">N215+N213</f>
        <v>47289.975875</v>
      </c>
      <c r="O216" s="133" t="n">
        <f aca="false">O215+O213</f>
        <v>63614.46020375</v>
      </c>
      <c r="P216" s="134" t="n">
        <f aca="false">P215+P213</f>
        <v>80803.1155830125</v>
      </c>
    </row>
    <row r="218" customFormat="false" ht="15" hidden="false" customHeight="false" outlineLevel="0" collapsed="false">
      <c r="B218" s="3" t="s">
        <v>372</v>
      </c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6"/>
    </row>
    <row r="219" customFormat="false" ht="15" hidden="false" customHeight="false" outlineLevel="0" collapsed="false">
      <c r="B219" s="7"/>
      <c r="C219" s="8"/>
      <c r="D219" s="8"/>
      <c r="E219" s="8"/>
      <c r="F219" s="506"/>
      <c r="G219" s="506"/>
      <c r="H219" s="527"/>
      <c r="I219" s="528"/>
      <c r="J219" s="40"/>
      <c r="K219" s="40"/>
      <c r="L219" s="492" t="str">
        <f aca="false">$L$73</f>
        <v>Projections</v>
      </c>
      <c r="M219" s="492"/>
      <c r="N219" s="492"/>
      <c r="O219" s="492"/>
      <c r="P219" s="492"/>
    </row>
    <row r="220" customFormat="false" ht="15" hidden="false" customHeight="false" outlineLevel="0" collapsed="false">
      <c r="B220" s="7"/>
      <c r="C220" s="8"/>
      <c r="D220" s="8"/>
      <c r="E220" s="8"/>
      <c r="F220" s="40"/>
      <c r="G220" s="40"/>
      <c r="H220" s="41"/>
      <c r="I220" s="529"/>
      <c r="J220" s="40"/>
      <c r="K220" s="41"/>
      <c r="L220" s="493" t="str">
        <f aca="false">$L$74</f>
        <v>FY 2010E</v>
      </c>
      <c r="M220" s="38" t="str">
        <f aca="false">$M$74</f>
        <v>FY 2011E</v>
      </c>
      <c r="N220" s="38" t="str">
        <f aca="false">$N$74</f>
        <v>FY 2012E</v>
      </c>
      <c r="O220" s="38" t="str">
        <f aca="false">$O$74</f>
        <v>FY 2013E</v>
      </c>
      <c r="P220" s="39" t="str">
        <f aca="false">$P$74</f>
        <v>FY 2014E</v>
      </c>
    </row>
    <row r="221" customFormat="false" ht="15" hidden="false" customHeight="false" outlineLevel="0" collapsed="false">
      <c r="B221" s="7"/>
      <c r="C221" s="8"/>
      <c r="D221" s="8"/>
      <c r="E221" s="8"/>
      <c r="F221" s="40"/>
      <c r="G221" s="40"/>
      <c r="H221" s="41"/>
      <c r="I221" s="40"/>
      <c r="J221" s="40"/>
      <c r="K221" s="41"/>
      <c r="L221" s="40"/>
      <c r="M221" s="40"/>
      <c r="N221" s="40"/>
      <c r="O221" s="40"/>
      <c r="P221" s="41"/>
    </row>
    <row r="222" customFormat="false" ht="15" hidden="false" customHeight="false" outlineLevel="0" collapsed="false">
      <c r="B222" s="7" t="s">
        <v>420</v>
      </c>
      <c r="C222" s="8"/>
      <c r="D222" s="8"/>
      <c r="E222" s="8"/>
      <c r="F222" s="40"/>
      <c r="G222" s="40"/>
      <c r="H222" s="41"/>
      <c r="I222" s="40"/>
      <c r="J222" s="40"/>
      <c r="K222" s="476"/>
      <c r="L222" s="443" t="n">
        <v>0.0455</v>
      </c>
      <c r="M222" s="443" t="n">
        <v>0.0478</v>
      </c>
      <c r="N222" s="443" t="n">
        <v>0.0494</v>
      </c>
      <c r="O222" s="443" t="n">
        <v>0.0475</v>
      </c>
      <c r="P222" s="476" t="n">
        <v>0.044</v>
      </c>
    </row>
    <row r="223" customFormat="false" ht="15" hidden="false" customHeight="false" outlineLevel="0" collapsed="false">
      <c r="B223" s="7"/>
      <c r="C223" s="8"/>
      <c r="D223" s="8"/>
      <c r="E223" s="8"/>
      <c r="F223" s="40"/>
      <c r="G223" s="23" t="s">
        <v>421</v>
      </c>
      <c r="H223" s="41"/>
      <c r="I223" s="40"/>
      <c r="J223" s="40"/>
      <c r="K223" s="41"/>
      <c r="L223" s="40"/>
      <c r="M223" s="40"/>
      <c r="N223" s="40"/>
      <c r="O223" s="40"/>
      <c r="P223" s="41"/>
    </row>
    <row r="224" customFormat="false" ht="15" hidden="false" customHeight="false" outlineLevel="0" collapsed="false">
      <c r="B224" s="10" t="s">
        <v>422</v>
      </c>
      <c r="C224" s="8"/>
      <c r="D224" s="8"/>
      <c r="E224" s="8"/>
      <c r="F224" s="25" t="s">
        <v>423</v>
      </c>
      <c r="G224" s="25" t="s">
        <v>191</v>
      </c>
      <c r="H224" s="41"/>
      <c r="I224" s="40"/>
      <c r="J224" s="40"/>
      <c r="K224" s="41"/>
      <c r="L224" s="40"/>
      <c r="M224" s="40"/>
      <c r="N224" s="40"/>
      <c r="O224" s="40"/>
      <c r="P224" s="41"/>
    </row>
    <row r="225" customFormat="false" ht="15" hidden="false" customHeight="false" outlineLevel="0" collapsed="false">
      <c r="B225" s="26" t="str">
        <f aca="false">H28</f>
        <v>Revolver:</v>
      </c>
      <c r="C225" s="8"/>
      <c r="D225" s="8"/>
      <c r="E225" s="8"/>
      <c r="F225" s="530" t="n">
        <f aca="false">F35/LIBOR_Units</f>
        <v>0.025</v>
      </c>
      <c r="G225" s="40"/>
      <c r="H225" s="41"/>
      <c r="I225" s="40"/>
      <c r="J225" s="40"/>
      <c r="K225" s="531"/>
      <c r="L225" s="532" t="n">
        <f aca="false">L$222+$F225</f>
        <v>0.0705</v>
      </c>
      <c r="M225" s="533" t="n">
        <f aca="false">M$222+$F225</f>
        <v>0.0728</v>
      </c>
      <c r="N225" s="533" t="n">
        <f aca="false">N$222+$F225</f>
        <v>0.0744</v>
      </c>
      <c r="O225" s="533" t="n">
        <f aca="false">O$222+$F225</f>
        <v>0.0725</v>
      </c>
      <c r="P225" s="531" t="n">
        <f aca="false">P$222+$F225</f>
        <v>0.069</v>
      </c>
    </row>
    <row r="226" customFormat="false" ht="15" hidden="false" customHeight="false" outlineLevel="0" collapsed="false">
      <c r="B226" s="26" t="str">
        <f aca="false">H29</f>
        <v>Term Loan A:</v>
      </c>
      <c r="C226" s="8"/>
      <c r="D226" s="8"/>
      <c r="E226" s="8"/>
      <c r="F226" s="530" t="n">
        <f aca="false">F36/LIBOR_Units</f>
        <v>0.035</v>
      </c>
      <c r="G226" s="40"/>
      <c r="H226" s="41"/>
      <c r="I226" s="40"/>
      <c r="J226" s="40"/>
      <c r="K226" s="531"/>
      <c r="L226" s="532" t="n">
        <f aca="false">L$222+$F226</f>
        <v>0.0805</v>
      </c>
      <c r="M226" s="533" t="n">
        <f aca="false">M$222+$F226</f>
        <v>0.0828</v>
      </c>
      <c r="N226" s="533" t="n">
        <f aca="false">N$222+$F226</f>
        <v>0.0844</v>
      </c>
      <c r="O226" s="533" t="n">
        <f aca="false">O$222+$F226</f>
        <v>0.0825</v>
      </c>
      <c r="P226" s="531" t="n">
        <f aca="false">P$222+$F226</f>
        <v>0.079</v>
      </c>
    </row>
    <row r="227" customFormat="false" ht="15" hidden="false" customHeight="false" outlineLevel="0" collapsed="false">
      <c r="B227" s="26" t="str">
        <f aca="false">H30</f>
        <v>Term Loan B:</v>
      </c>
      <c r="C227" s="8"/>
      <c r="D227" s="8"/>
      <c r="E227" s="8"/>
      <c r="F227" s="530" t="n">
        <f aca="false">F37/LIBOR_Units</f>
        <v>0.05</v>
      </c>
      <c r="G227" s="40"/>
      <c r="H227" s="41"/>
      <c r="I227" s="40"/>
      <c r="J227" s="40"/>
      <c r="K227" s="531"/>
      <c r="L227" s="532" t="n">
        <f aca="false">L$222+$F227</f>
        <v>0.0955</v>
      </c>
      <c r="M227" s="533" t="n">
        <f aca="false">M$222+$F227</f>
        <v>0.0978</v>
      </c>
      <c r="N227" s="533" t="n">
        <f aca="false">N$222+$F227</f>
        <v>0.0994</v>
      </c>
      <c r="O227" s="533" t="n">
        <f aca="false">O$222+$F227</f>
        <v>0.0975</v>
      </c>
      <c r="P227" s="531" t="n">
        <f aca="false">P$222+$F227</f>
        <v>0.094</v>
      </c>
    </row>
    <row r="228" customFormat="false" ht="15" hidden="false" customHeight="false" outlineLevel="0" collapsed="false">
      <c r="B228" s="26" t="str">
        <f aca="false">H31</f>
        <v>Subordinated Note:</v>
      </c>
      <c r="C228" s="8"/>
      <c r="D228" s="8"/>
      <c r="E228" s="8"/>
      <c r="F228" s="530"/>
      <c r="G228" s="530" t="n">
        <f aca="false">F38</f>
        <v>0.11</v>
      </c>
      <c r="H228" s="41"/>
      <c r="I228" s="40"/>
      <c r="J228" s="40"/>
      <c r="K228" s="531"/>
      <c r="L228" s="532" t="n">
        <f aca="false">$G228</f>
        <v>0.11</v>
      </c>
      <c r="M228" s="533" t="n">
        <f aca="false">$G228</f>
        <v>0.11</v>
      </c>
      <c r="N228" s="533" t="n">
        <f aca="false">$G228</f>
        <v>0.11</v>
      </c>
      <c r="O228" s="533" t="n">
        <f aca="false">$G228</f>
        <v>0.11</v>
      </c>
      <c r="P228" s="531" t="n">
        <f aca="false">$G228</f>
        <v>0.11</v>
      </c>
    </row>
    <row r="229" customFormat="false" ht="15" hidden="false" customHeight="false" outlineLevel="0" collapsed="false">
      <c r="B229" s="26" t="str">
        <f aca="false">H32</f>
        <v>PIK Loan:</v>
      </c>
      <c r="C229" s="8"/>
      <c r="D229" s="8"/>
      <c r="E229" s="8"/>
      <c r="F229" s="530"/>
      <c r="G229" s="530" t="n">
        <f aca="false">F39</f>
        <v>0.13</v>
      </c>
      <c r="H229" s="41"/>
      <c r="I229" s="40"/>
      <c r="J229" s="40"/>
      <c r="K229" s="531"/>
      <c r="L229" s="532" t="n">
        <f aca="false">$G229</f>
        <v>0.13</v>
      </c>
      <c r="M229" s="533" t="n">
        <f aca="false">$G229</f>
        <v>0.13</v>
      </c>
      <c r="N229" s="533" t="n">
        <f aca="false">$G229</f>
        <v>0.13</v>
      </c>
      <c r="O229" s="533" t="n">
        <f aca="false">$G229</f>
        <v>0.13</v>
      </c>
      <c r="P229" s="531" t="n">
        <f aca="false">$G229</f>
        <v>0.13</v>
      </c>
    </row>
    <row r="230" customFormat="false" ht="15" hidden="false" customHeight="false" outlineLevel="0" collapsed="false">
      <c r="B230" s="7"/>
      <c r="C230" s="8"/>
      <c r="D230" s="8"/>
      <c r="E230" s="8"/>
      <c r="F230" s="40"/>
      <c r="G230" s="40"/>
      <c r="H230" s="41"/>
      <c r="I230" s="40"/>
      <c r="J230" s="40"/>
      <c r="K230" s="41"/>
      <c r="L230" s="40"/>
      <c r="M230" s="40"/>
      <c r="N230" s="40"/>
      <c r="O230" s="40"/>
      <c r="P230" s="41"/>
    </row>
    <row r="231" customFormat="false" ht="15" hidden="false" customHeight="false" outlineLevel="0" collapsed="false">
      <c r="B231" s="80" t="s">
        <v>424</v>
      </c>
      <c r="C231" s="8"/>
      <c r="D231" s="8"/>
      <c r="E231" s="8"/>
      <c r="F231" s="40"/>
      <c r="G231" s="40"/>
      <c r="H231" s="41"/>
      <c r="I231" s="40"/>
      <c r="J231" s="40"/>
      <c r="K231" s="41"/>
      <c r="L231" s="40"/>
      <c r="M231" s="40"/>
      <c r="N231" s="40"/>
      <c r="O231" s="40"/>
      <c r="P231" s="41"/>
    </row>
    <row r="232" customFormat="false" ht="15" hidden="false" customHeight="false" outlineLevel="0" collapsed="false">
      <c r="B232" s="26" t="str">
        <f aca="false">B225</f>
        <v>Revolver:</v>
      </c>
      <c r="C232" s="8"/>
      <c r="D232" s="8"/>
      <c r="E232" s="8"/>
      <c r="F232" s="40"/>
      <c r="G232" s="40"/>
      <c r="H232" s="41"/>
      <c r="I232" s="40"/>
      <c r="J232" s="40"/>
      <c r="K232" s="41"/>
      <c r="L232" s="20" t="n">
        <f aca="false">-AVERAGE(K150,L150)*L225</f>
        <v>-0</v>
      </c>
      <c r="M232" s="20" t="n">
        <f aca="false">-AVERAGE(L150,M150)*M225</f>
        <v>-0</v>
      </c>
      <c r="N232" s="20" t="n">
        <f aca="false">-AVERAGE(M150,N150)*N225</f>
        <v>-0</v>
      </c>
      <c r="O232" s="20" t="n">
        <f aca="false">-AVERAGE(N150,O150)*O225</f>
        <v>-0</v>
      </c>
      <c r="P232" s="73" t="n">
        <f aca="false">-AVERAGE(O150,P150)*P225</f>
        <v>-0</v>
      </c>
    </row>
    <row r="233" customFormat="false" ht="15" hidden="false" customHeight="false" outlineLevel="0" collapsed="false">
      <c r="B233" s="26" t="str">
        <f aca="false">B226</f>
        <v>Term Loan A:</v>
      </c>
      <c r="C233" s="8"/>
      <c r="D233" s="8"/>
      <c r="E233" s="8"/>
      <c r="F233" s="40"/>
      <c r="G233" s="40"/>
      <c r="H233" s="41"/>
      <c r="I233" s="40"/>
      <c r="J233" s="40"/>
      <c r="K233" s="41"/>
      <c r="L233" s="20" t="n">
        <f aca="false">-AVERAGE(K159,L159)*L226</f>
        <v>-2547.1488</v>
      </c>
      <c r="M233" s="20" t="n">
        <f aca="false">-AVERAGE(L159,M159)*M226</f>
        <v>-2619.92448</v>
      </c>
      <c r="N233" s="20" t="n">
        <f aca="false">-AVERAGE(M159,N159)*N226</f>
        <v>-2670.55104</v>
      </c>
      <c r="O233" s="20" t="n">
        <f aca="false">-AVERAGE(N159,O159)*O226</f>
        <v>-2610.432</v>
      </c>
      <c r="P233" s="73" t="n">
        <f aca="false">-AVERAGE(O159,P159)*P226</f>
        <v>-2499.6864</v>
      </c>
    </row>
    <row r="234" customFormat="false" ht="15" hidden="false" customHeight="false" outlineLevel="0" collapsed="false">
      <c r="B234" s="26" t="str">
        <f aca="false">B227</f>
        <v>Term Loan B:</v>
      </c>
      <c r="C234" s="8"/>
      <c r="D234" s="8"/>
      <c r="E234" s="8"/>
      <c r="F234" s="40"/>
      <c r="G234" s="40"/>
      <c r="H234" s="41"/>
      <c r="I234" s="40"/>
      <c r="J234" s="40"/>
      <c r="K234" s="41"/>
      <c r="L234" s="20" t="n">
        <f aca="false">-AVERAGE(K160,L160)*L227</f>
        <v>-2266.3296</v>
      </c>
      <c r="M234" s="20" t="n">
        <f aca="false">-AVERAGE(L160,M160)*M227</f>
        <v>-2320.91136</v>
      </c>
      <c r="N234" s="20" t="n">
        <f aca="false">-AVERAGE(M160,N160)*N227</f>
        <v>-2358.88128</v>
      </c>
      <c r="O234" s="20" t="n">
        <f aca="false">-AVERAGE(N160,O160)*O227</f>
        <v>-2313.792</v>
      </c>
      <c r="P234" s="73" t="n">
        <f aca="false">-AVERAGE(O160,P160)*P227</f>
        <v>-2230.7328</v>
      </c>
    </row>
    <row r="235" customFormat="false" ht="15" hidden="false" customHeight="false" outlineLevel="0" collapsed="false">
      <c r="B235" s="26" t="str">
        <f aca="false">B228</f>
        <v>Subordinated Note:</v>
      </c>
      <c r="C235" s="8"/>
      <c r="D235" s="8"/>
      <c r="E235" s="8"/>
      <c r="F235" s="40"/>
      <c r="G235" s="40"/>
      <c r="H235" s="41"/>
      <c r="I235" s="40"/>
      <c r="J235" s="40"/>
      <c r="K235" s="41"/>
      <c r="L235" s="20" t="n">
        <f aca="false">-AVERAGE(K161,L161)*L228</f>
        <v>-1740.288</v>
      </c>
      <c r="M235" s="20" t="n">
        <f aca="false">-AVERAGE(L161,M161)*M228</f>
        <v>-1740.288</v>
      </c>
      <c r="N235" s="20" t="n">
        <f aca="false">-AVERAGE(M161,N161)*N228</f>
        <v>-1740.288</v>
      </c>
      <c r="O235" s="20" t="n">
        <f aca="false">-AVERAGE(N161,O161)*O228</f>
        <v>-1740.288</v>
      </c>
      <c r="P235" s="73" t="n">
        <f aca="false">-AVERAGE(O161,P161)*P228</f>
        <v>-1740.288</v>
      </c>
    </row>
    <row r="236" customFormat="false" ht="15" hidden="false" customHeight="false" outlineLevel="0" collapsed="false">
      <c r="B236" s="26" t="str">
        <f aca="false">B229</f>
        <v>PIK Loan:</v>
      </c>
      <c r="C236" s="8"/>
      <c r="D236" s="8"/>
      <c r="E236" s="8"/>
      <c r="F236" s="40"/>
      <c r="G236" s="40"/>
      <c r="H236" s="41"/>
      <c r="I236" s="40"/>
      <c r="J236" s="40"/>
      <c r="K236" s="41"/>
      <c r="L236" s="20" t="n">
        <f aca="false">-AVERAGE(K162,L162)*L229</f>
        <v>-1028.352</v>
      </c>
      <c r="M236" s="20" t="n">
        <f aca="false">-AVERAGE(L162,M162)*M229</f>
        <v>-1028.352</v>
      </c>
      <c r="N236" s="20" t="n">
        <f aca="false">-AVERAGE(M162,N162)*N229</f>
        <v>-1028.352</v>
      </c>
      <c r="O236" s="20" t="n">
        <f aca="false">-AVERAGE(N162,O162)*O229</f>
        <v>-1028.352</v>
      </c>
      <c r="P236" s="73" t="n">
        <f aca="false">-AVERAGE(O162,P162)*P229</f>
        <v>-1028.352</v>
      </c>
    </row>
    <row r="237" customFormat="false" ht="15" hidden="false" customHeight="false" outlineLevel="0" collapsed="false">
      <c r="B237" s="26" t="s">
        <v>425</v>
      </c>
      <c r="C237" s="8"/>
      <c r="D237" s="8"/>
      <c r="E237" s="8"/>
      <c r="F237" s="40"/>
      <c r="G237" s="40"/>
      <c r="H237" s="41"/>
      <c r="I237" s="40"/>
      <c r="J237" s="40"/>
      <c r="K237" s="41"/>
      <c r="L237" s="20" t="n">
        <f aca="false">AVERAGE(K131+K132+K140,L131+L132+L140)*L83</f>
        <v>402.33625</v>
      </c>
      <c r="M237" s="20" t="n">
        <f aca="false">AVERAGE(L131+L132+L140,M131+M132+M140)*M83</f>
        <v>537.7328125</v>
      </c>
      <c r="N237" s="20" t="n">
        <f aca="false">AVERAGE(M131+M132+M140,N131+N132+N140)*N83</f>
        <v>1370.41288375</v>
      </c>
      <c r="O237" s="20" t="n">
        <f aca="false">AVERAGE(N131+N132+N140,O131+O132+O140)*O83</f>
        <v>1685.7643607875</v>
      </c>
      <c r="P237" s="73" t="n">
        <f aca="false">AVERAGE(O131+O132+O140,P131+P132+P140)*P83</f>
        <v>3031.34363680144</v>
      </c>
    </row>
    <row r="238" customFormat="false" ht="15" hidden="false" customHeight="false" outlineLevel="0" collapsed="false">
      <c r="B238" s="78" t="s">
        <v>381</v>
      </c>
      <c r="C238" s="34"/>
      <c r="D238" s="34"/>
      <c r="E238" s="34"/>
      <c r="F238" s="534"/>
      <c r="G238" s="534"/>
      <c r="H238" s="458"/>
      <c r="I238" s="534"/>
      <c r="J238" s="534"/>
      <c r="K238" s="458"/>
      <c r="L238" s="535" t="n">
        <f aca="false">SUM(L232:L237)</f>
        <v>-7179.78215</v>
      </c>
      <c r="M238" s="107" t="n">
        <f aca="false">SUM(M232:M237)</f>
        <v>-7171.7430275</v>
      </c>
      <c r="N238" s="107" t="n">
        <f aca="false">SUM(N232:N237)</f>
        <v>-6427.65943625</v>
      </c>
      <c r="O238" s="107" t="n">
        <f aca="false">SUM(O232:O237)</f>
        <v>-6007.0996392125</v>
      </c>
      <c r="P238" s="108" t="n">
        <f aca="false">SUM(P232:P237)</f>
        <v>-4467.71556319856</v>
      </c>
    </row>
    <row r="239" customFormat="false" ht="15" hidden="false" customHeight="false" outlineLevel="0" collapsed="false">
      <c r="B239" s="26"/>
      <c r="C239" s="8"/>
      <c r="D239" s="8"/>
      <c r="E239" s="8"/>
      <c r="F239" s="40"/>
      <c r="G239" s="40"/>
      <c r="H239" s="41"/>
      <c r="I239" s="40"/>
      <c r="J239" s="40"/>
      <c r="K239" s="41"/>
      <c r="L239" s="40"/>
      <c r="M239" s="40"/>
      <c r="N239" s="40"/>
      <c r="O239" s="40"/>
      <c r="P239" s="41"/>
    </row>
    <row r="240" customFormat="false" ht="15" hidden="false" customHeight="false" outlineLevel="0" collapsed="false">
      <c r="B240" s="10" t="s">
        <v>426</v>
      </c>
      <c r="C240" s="8"/>
      <c r="D240" s="8"/>
      <c r="E240" s="8"/>
      <c r="F240" s="40"/>
      <c r="G240" s="40"/>
      <c r="H240" s="41"/>
      <c r="I240" s="40"/>
      <c r="J240" s="40"/>
      <c r="K240" s="41"/>
      <c r="L240" s="40"/>
      <c r="M240" s="40"/>
      <c r="N240" s="40"/>
      <c r="O240" s="40"/>
      <c r="P240" s="41"/>
    </row>
    <row r="241" customFormat="false" ht="15" hidden="false" customHeight="false" outlineLevel="0" collapsed="false">
      <c r="B241" s="26" t="s">
        <v>365</v>
      </c>
      <c r="C241" s="8"/>
      <c r="D241" s="8"/>
      <c r="E241" s="8"/>
      <c r="F241" s="40"/>
      <c r="G241" s="40"/>
      <c r="H241" s="41"/>
      <c r="I241" s="40"/>
      <c r="J241" s="40"/>
      <c r="K241" s="41"/>
      <c r="L241" s="20" t="n">
        <f aca="false">K131</f>
        <v>5000</v>
      </c>
      <c r="M241" s="20" t="n">
        <f aca="false">L131</f>
        <v>17795.25</v>
      </c>
      <c r="N241" s="20" t="n">
        <f aca="false">M131</f>
        <v>32079.3125</v>
      </c>
      <c r="O241" s="20" t="n">
        <f aca="false">N131</f>
        <v>47289.975875</v>
      </c>
      <c r="P241" s="73" t="n">
        <f aca="false">O131</f>
        <v>63614.46020375</v>
      </c>
    </row>
    <row r="242" customFormat="false" ht="15" hidden="false" customHeight="false" outlineLevel="0" collapsed="false">
      <c r="B242" s="26" t="s">
        <v>367</v>
      </c>
      <c r="C242" s="8"/>
      <c r="D242" s="8"/>
      <c r="E242" s="8"/>
      <c r="F242" s="40"/>
      <c r="G242" s="40"/>
      <c r="H242" s="41"/>
      <c r="I242" s="40"/>
      <c r="J242" s="40"/>
      <c r="K242" s="41"/>
      <c r="L242" s="20" t="n">
        <f aca="false">-$F$71</f>
        <v>-5000</v>
      </c>
      <c r="M242" s="20" t="n">
        <f aca="false">-$F$71</f>
        <v>-5000</v>
      </c>
      <c r="N242" s="20" t="n">
        <f aca="false">-$F$71</f>
        <v>-5000</v>
      </c>
      <c r="O242" s="20" t="n">
        <f aca="false">-$F$71</f>
        <v>-5000</v>
      </c>
      <c r="P242" s="73" t="n">
        <f aca="false">-$F$71</f>
        <v>-5000</v>
      </c>
    </row>
    <row r="243" customFormat="false" ht="15" hidden="false" customHeight="false" outlineLevel="0" collapsed="false">
      <c r="B243" s="26" t="s">
        <v>427</v>
      </c>
      <c r="C243" s="8"/>
      <c r="D243" s="8"/>
      <c r="E243" s="8"/>
      <c r="F243" s="40"/>
      <c r="G243" s="40"/>
      <c r="H243" s="41"/>
      <c r="I243" s="40"/>
      <c r="J243" s="40"/>
      <c r="K243" s="41"/>
      <c r="L243" s="20" t="n">
        <f aca="false">L204</f>
        <v>12795.25</v>
      </c>
      <c r="M243" s="20" t="n">
        <f aca="false">M204</f>
        <v>14284.0625</v>
      </c>
      <c r="N243" s="20" t="n">
        <f aca="false">N204</f>
        <v>15210.663375</v>
      </c>
      <c r="O243" s="20" t="n">
        <f aca="false">O204</f>
        <v>16324.48432875</v>
      </c>
      <c r="P243" s="73" t="n">
        <f aca="false">P204</f>
        <v>17188.6553792625</v>
      </c>
    </row>
    <row r="244" customFormat="false" ht="15" hidden="false" customHeight="false" outlineLevel="0" collapsed="false">
      <c r="B244" s="80" t="s">
        <v>428</v>
      </c>
      <c r="C244" s="8"/>
      <c r="D244" s="8"/>
      <c r="E244" s="8"/>
      <c r="F244" s="40"/>
      <c r="G244" s="40"/>
      <c r="H244" s="41"/>
      <c r="I244" s="40"/>
      <c r="J244" s="40"/>
      <c r="K244" s="41"/>
      <c r="L244" s="535" t="n">
        <f aca="false">SUM(L241:L243)</f>
        <v>12795.25</v>
      </c>
      <c r="M244" s="107" t="n">
        <f aca="false">SUM(M241:M243)</f>
        <v>27079.3125</v>
      </c>
      <c r="N244" s="107" t="n">
        <f aca="false">SUM(N241:N243)</f>
        <v>42289.975875</v>
      </c>
      <c r="O244" s="107" t="n">
        <f aca="false">SUM(O241:O243)</f>
        <v>58614.46020375</v>
      </c>
      <c r="P244" s="108" t="n">
        <f aca="false">SUM(P241:P243)</f>
        <v>75803.1155830125</v>
      </c>
    </row>
    <row r="245" customFormat="false" ht="15" hidden="false" customHeight="false" outlineLevel="0" collapsed="false">
      <c r="B245" s="26" t="s">
        <v>429</v>
      </c>
      <c r="C245" s="8"/>
      <c r="D245" s="8"/>
      <c r="E245" s="8"/>
      <c r="F245" s="40"/>
      <c r="G245" s="40"/>
      <c r="H245" s="41"/>
      <c r="I245" s="40"/>
      <c r="J245" s="40"/>
      <c r="K245" s="41"/>
      <c r="L245" s="20" t="n">
        <f aca="false">MAX(0,L254-L244)</f>
        <v>0</v>
      </c>
      <c r="M245" s="20" t="n">
        <f aca="false">MAX(0,M254-M244)</f>
        <v>0</v>
      </c>
      <c r="N245" s="20" t="n">
        <f aca="false">MAX(0,N254-N244)</f>
        <v>0</v>
      </c>
      <c r="O245" s="20" t="n">
        <f aca="false">MAX(0,O254-O244)</f>
        <v>0</v>
      </c>
      <c r="P245" s="73" t="n">
        <f aca="false">MAX(0,P254-P244)</f>
        <v>0</v>
      </c>
    </row>
    <row r="246" customFormat="false" ht="15" hidden="false" customHeight="false" outlineLevel="0" collapsed="false">
      <c r="B246" s="10" t="s">
        <v>430</v>
      </c>
      <c r="C246" s="8"/>
      <c r="D246" s="8"/>
      <c r="E246" s="8"/>
      <c r="F246" s="40"/>
      <c r="G246" s="40"/>
      <c r="H246" s="41"/>
      <c r="I246" s="40"/>
      <c r="J246" s="40"/>
      <c r="K246" s="41"/>
      <c r="L246" s="535" t="n">
        <f aca="false">L245+L244</f>
        <v>12795.25</v>
      </c>
      <c r="M246" s="107" t="n">
        <f aca="false">M245+M244</f>
        <v>27079.3125</v>
      </c>
      <c r="N246" s="107" t="n">
        <f aca="false">N245+N244</f>
        <v>42289.975875</v>
      </c>
      <c r="O246" s="107" t="n">
        <f aca="false">O245+O244</f>
        <v>58614.46020375</v>
      </c>
      <c r="P246" s="108" t="n">
        <f aca="false">P245+P244</f>
        <v>75803.1155830125</v>
      </c>
    </row>
    <row r="247" customFormat="false" ht="15" hidden="false" customHeight="false" outlineLevel="0" collapsed="false">
      <c r="B247" s="26"/>
      <c r="C247" s="8"/>
      <c r="D247" s="8"/>
      <c r="E247" s="8"/>
      <c r="F247" s="40"/>
      <c r="G247" s="40"/>
      <c r="H247" s="41"/>
      <c r="I247" s="40"/>
      <c r="J247" s="40"/>
      <c r="K247" s="41"/>
      <c r="L247" s="40"/>
      <c r="M247" s="40"/>
      <c r="N247" s="40"/>
      <c r="O247" s="40"/>
      <c r="P247" s="41"/>
    </row>
    <row r="248" customFormat="false" ht="15" hidden="false" customHeight="false" outlineLevel="0" collapsed="false">
      <c r="B248" s="80" t="s">
        <v>431</v>
      </c>
      <c r="C248" s="8"/>
      <c r="D248" s="8"/>
      <c r="E248" s="8"/>
      <c r="F248" s="40"/>
      <c r="G248" s="40"/>
      <c r="H248" s="41"/>
      <c r="I248" s="40"/>
      <c r="J248" s="40"/>
      <c r="K248" s="41"/>
      <c r="L248" s="40"/>
      <c r="M248" s="40"/>
      <c r="N248" s="40"/>
      <c r="O248" s="40"/>
      <c r="P248" s="41"/>
    </row>
    <row r="249" customFormat="false" ht="15" hidden="false" customHeight="false" outlineLevel="0" collapsed="false">
      <c r="B249" s="536" t="s">
        <v>432</v>
      </c>
      <c r="C249" s="8"/>
      <c r="D249" s="8"/>
      <c r="E249" s="8"/>
      <c r="F249" s="40"/>
      <c r="G249" s="40"/>
      <c r="H249" s="41"/>
      <c r="I249" s="40"/>
      <c r="J249" s="40"/>
      <c r="K249" s="41"/>
      <c r="L249" s="40"/>
      <c r="M249" s="40"/>
      <c r="N249" s="40"/>
      <c r="O249" s="40"/>
      <c r="P249" s="41"/>
    </row>
    <row r="250" customFormat="false" ht="15" hidden="false" customHeight="false" outlineLevel="0" collapsed="false">
      <c r="B250" s="537" t="str">
        <f aca="false">B226</f>
        <v>Term Loan A:</v>
      </c>
      <c r="C250" s="8"/>
      <c r="D250" s="8"/>
      <c r="E250" s="8"/>
      <c r="F250" s="40"/>
      <c r="G250" s="40"/>
      <c r="H250" s="41"/>
      <c r="I250" s="40"/>
      <c r="J250" s="40"/>
      <c r="K250" s="41"/>
      <c r="L250" s="20" t="n">
        <f aca="false">MIN(K159,$L29*$L36)</f>
        <v>3164.16</v>
      </c>
      <c r="M250" s="20" t="n">
        <f aca="false">MIN(L159,$L29*$L36)</f>
        <v>3164.16</v>
      </c>
      <c r="N250" s="20" t="n">
        <f aca="false">MIN(M159,$L29*$L36)</f>
        <v>3164.16</v>
      </c>
      <c r="O250" s="20" t="n">
        <f aca="false">MIN(N159,$L29*$L36)</f>
        <v>3164.16</v>
      </c>
      <c r="P250" s="73" t="n">
        <f aca="false">MIN(O159,$L29*$L36)</f>
        <v>3164.16</v>
      </c>
    </row>
    <row r="251" customFormat="false" ht="15" hidden="false" customHeight="false" outlineLevel="0" collapsed="false">
      <c r="B251" s="537" t="str">
        <f aca="false">B227</f>
        <v>Term Loan B:</v>
      </c>
      <c r="C251" s="8"/>
      <c r="D251" s="8"/>
      <c r="E251" s="8"/>
      <c r="F251" s="40"/>
      <c r="G251" s="40"/>
      <c r="H251" s="41"/>
      <c r="I251" s="40"/>
      <c r="J251" s="40"/>
      <c r="K251" s="41"/>
      <c r="L251" s="20" t="n">
        <f aca="false">MIN(K160,$L30*$L37)</f>
        <v>1186.56</v>
      </c>
      <c r="M251" s="20" t="n">
        <f aca="false">MIN(L160,$L30*$L37)</f>
        <v>1186.56</v>
      </c>
      <c r="N251" s="20" t="n">
        <f aca="false">MIN(M160,$L30*$L37)</f>
        <v>1186.56</v>
      </c>
      <c r="O251" s="20" t="n">
        <f aca="false">MIN(N160,$L30*$L37)</f>
        <v>1186.56</v>
      </c>
      <c r="P251" s="73" t="n">
        <f aca="false">MIN(O160,$L30*$L37)</f>
        <v>1186.56</v>
      </c>
    </row>
    <row r="252" customFormat="false" ht="15" hidden="false" customHeight="false" outlineLevel="0" collapsed="false">
      <c r="B252" s="537" t="str">
        <f aca="false">B228</f>
        <v>Subordinated Note:</v>
      </c>
      <c r="C252" s="8"/>
      <c r="D252" s="8"/>
      <c r="E252" s="8"/>
      <c r="F252" s="40"/>
      <c r="G252" s="40"/>
      <c r="H252" s="41"/>
      <c r="I252" s="40"/>
      <c r="J252" s="40"/>
      <c r="K252" s="41"/>
      <c r="L252" s="20" t="n">
        <f aca="false">MIN(K161,$L31*$L38)</f>
        <v>0</v>
      </c>
      <c r="M252" s="20" t="n">
        <f aca="false">MIN(L161,$L31*$L38)</f>
        <v>0</v>
      </c>
      <c r="N252" s="20" t="n">
        <f aca="false">MIN(M161,$L31*$L38)</f>
        <v>0</v>
      </c>
      <c r="O252" s="20" t="n">
        <f aca="false">MIN(N161,$L31*$L38)</f>
        <v>0</v>
      </c>
      <c r="P252" s="73" t="n">
        <f aca="false">MIN(O161,$L31*$L38)</f>
        <v>0</v>
      </c>
    </row>
    <row r="253" customFormat="false" ht="15" hidden="false" customHeight="false" outlineLevel="0" collapsed="false">
      <c r="B253" s="537" t="str">
        <f aca="false">B229</f>
        <v>PIK Loan:</v>
      </c>
      <c r="C253" s="8"/>
      <c r="D253" s="8"/>
      <c r="E253" s="8"/>
      <c r="F253" s="40"/>
      <c r="G253" s="40"/>
      <c r="H253" s="41"/>
      <c r="I253" s="40"/>
      <c r="J253" s="40"/>
      <c r="K253" s="41"/>
      <c r="L253" s="20" t="n">
        <f aca="false">MIN(K162,$L32*$L39)</f>
        <v>0</v>
      </c>
      <c r="M253" s="20" t="n">
        <f aca="false">MIN(L162,$L32*$L39)</f>
        <v>0</v>
      </c>
      <c r="N253" s="20" t="n">
        <f aca="false">MIN(M162,$L32*$L39)</f>
        <v>0</v>
      </c>
      <c r="O253" s="20" t="n">
        <f aca="false">MIN(N162,$L32*$L39)</f>
        <v>0</v>
      </c>
      <c r="P253" s="73" t="n">
        <f aca="false">MIN(O162,$L32*$L39)</f>
        <v>0</v>
      </c>
    </row>
    <row r="254" customFormat="false" ht="15" hidden="false" customHeight="false" outlineLevel="0" collapsed="false">
      <c r="B254" s="80" t="s">
        <v>433</v>
      </c>
      <c r="C254" s="8"/>
      <c r="D254" s="8"/>
      <c r="E254" s="8"/>
      <c r="F254" s="40"/>
      <c r="G254" s="40"/>
      <c r="H254" s="41"/>
      <c r="I254" s="40"/>
      <c r="J254" s="40"/>
      <c r="K254" s="41"/>
      <c r="L254" s="535" t="n">
        <f aca="false">SUM(L250:L253)</f>
        <v>4350.72</v>
      </c>
      <c r="M254" s="107" t="n">
        <f aca="false">SUM(M250:M253)</f>
        <v>4350.72</v>
      </c>
      <c r="N254" s="107" t="n">
        <f aca="false">SUM(N250:N253)</f>
        <v>4350.72</v>
      </c>
      <c r="O254" s="107" t="n">
        <f aca="false">SUM(O250:O253)</f>
        <v>4350.72</v>
      </c>
      <c r="P254" s="108" t="n">
        <f aca="false">SUM(P250:P253)</f>
        <v>4350.72</v>
      </c>
    </row>
    <row r="255" customFormat="false" ht="15" hidden="false" customHeight="false" outlineLevel="0" collapsed="false">
      <c r="B255" s="26"/>
      <c r="C255" s="8"/>
      <c r="D255" s="8"/>
      <c r="E255" s="8"/>
      <c r="F255" s="40"/>
      <c r="G255" s="40"/>
      <c r="H255" s="41"/>
      <c r="I255" s="40"/>
      <c r="J255" s="40"/>
      <c r="K255" s="41"/>
      <c r="L255" s="40"/>
      <c r="M255" s="40"/>
      <c r="N255" s="40"/>
      <c r="O255" s="40"/>
      <c r="P255" s="41"/>
    </row>
    <row r="256" customFormat="false" ht="15" hidden="false" customHeight="false" outlineLevel="0" collapsed="false">
      <c r="B256" s="536" t="s">
        <v>434</v>
      </c>
      <c r="C256" s="8"/>
      <c r="D256" s="8"/>
      <c r="E256" s="8"/>
      <c r="F256" s="40"/>
      <c r="G256" s="40"/>
      <c r="H256" s="41"/>
      <c r="I256" s="40"/>
      <c r="J256" s="40"/>
      <c r="K256" s="41"/>
      <c r="L256" s="40"/>
      <c r="M256" s="40"/>
      <c r="N256" s="40"/>
      <c r="O256" s="40"/>
      <c r="P256" s="41"/>
    </row>
    <row r="257" customFormat="false" ht="15" hidden="false" customHeight="false" outlineLevel="0" collapsed="false">
      <c r="B257" s="537" t="str">
        <f aca="false">B232</f>
        <v>Revolver:</v>
      </c>
      <c r="C257" s="8"/>
      <c r="D257" s="8"/>
      <c r="E257" s="8"/>
      <c r="F257" s="40"/>
      <c r="G257" s="40"/>
      <c r="H257" s="41"/>
      <c r="I257" s="40"/>
      <c r="J257" s="40"/>
      <c r="K257" s="41"/>
      <c r="L257" s="20" t="n">
        <f aca="false">MAX(MIN(K150,L$244-SUM(L$254:L256)),0)</f>
        <v>0</v>
      </c>
      <c r="M257" s="20" t="n">
        <f aca="false">MAX(MIN(L150,M$244-SUM(M$254:M256)),0)</f>
        <v>0</v>
      </c>
      <c r="N257" s="20" t="n">
        <f aca="false">MAX(MIN(M150,N$244-SUM(N$254:N256)),0)</f>
        <v>0</v>
      </c>
      <c r="O257" s="20" t="n">
        <f aca="false">MAX(MIN(N150,O$244-SUM(O$254:O256)),0)</f>
        <v>0</v>
      </c>
      <c r="P257" s="73" t="n">
        <f aca="false">MAX(MIN(O150,P$244-SUM(P$254:P256)),0)</f>
        <v>0</v>
      </c>
    </row>
    <row r="258" customFormat="false" ht="15" hidden="false" customHeight="false" outlineLevel="0" collapsed="false">
      <c r="B258" s="537" t="str">
        <f aca="false">B233</f>
        <v>Term Loan A:</v>
      </c>
      <c r="C258" s="8"/>
      <c r="D258" s="8"/>
      <c r="E258" s="8"/>
      <c r="F258" s="40"/>
      <c r="G258" s="40"/>
      <c r="H258" s="41"/>
      <c r="I258" s="40"/>
      <c r="J258" s="40"/>
      <c r="K258" s="41"/>
      <c r="L258" s="20" t="n">
        <f aca="false">MAX(MIN(K159-L250,L$244-SUM(L$254:L257)),0)</f>
        <v>8444.53</v>
      </c>
      <c r="M258" s="20" t="n">
        <f aca="false">MAX(MIN(L159-M250,M$244-SUM(M$254:M257)),0)</f>
        <v>22728.5925</v>
      </c>
      <c r="N258" s="20" t="n">
        <f aca="false">MAX(MIN(M159-N250,N$244-SUM(N$254:N257)),0)</f>
        <v>28477.44</v>
      </c>
      <c r="O258" s="20" t="n">
        <f aca="false">MAX(MIN(N159-O250,O$244-SUM(O$254:O257)),0)</f>
        <v>28477.44</v>
      </c>
      <c r="P258" s="73" t="n">
        <f aca="false">MAX(MIN(O159-P250,P$244-SUM(P$254:P257)),0)</f>
        <v>28477.44</v>
      </c>
    </row>
    <row r="259" customFormat="false" ht="15" hidden="false" customHeight="false" outlineLevel="0" collapsed="false">
      <c r="B259" s="537" t="str">
        <f aca="false">B234</f>
        <v>Term Loan B:</v>
      </c>
      <c r="C259" s="8"/>
      <c r="D259" s="8"/>
      <c r="E259" s="8"/>
      <c r="F259" s="40"/>
      <c r="G259" s="40"/>
      <c r="H259" s="41"/>
      <c r="I259" s="40"/>
      <c r="J259" s="40"/>
      <c r="K259" s="41"/>
      <c r="L259" s="20" t="n">
        <f aca="false">MAX(MIN(K160-L251,L$244-SUM(L$254:L258)),0)</f>
        <v>0</v>
      </c>
      <c r="M259" s="20" t="n">
        <f aca="false">MAX(MIN(L160-M251,M$244-SUM(M$254:M258)),0)</f>
        <v>0</v>
      </c>
      <c r="N259" s="20" t="n">
        <f aca="false">MAX(MIN(M160-N251,N$244-SUM(N$254:N258)),0)</f>
        <v>9461.815875</v>
      </c>
      <c r="O259" s="20" t="n">
        <f aca="false">MAX(MIN(N160-O251,O$244-SUM(O$254:O258)),0)</f>
        <v>22544.64</v>
      </c>
      <c r="P259" s="73" t="n">
        <f aca="false">MAX(MIN(O160-P251,P$244-SUM(P$254:P258)),0)</f>
        <v>22544.64</v>
      </c>
    </row>
    <row r="260" customFormat="false" ht="15" hidden="false" customHeight="false" outlineLevel="0" collapsed="false">
      <c r="B260" s="537" t="str">
        <f aca="false">B235</f>
        <v>Subordinated Note:</v>
      </c>
      <c r="C260" s="8"/>
      <c r="D260" s="8"/>
      <c r="E260" s="8"/>
      <c r="F260" s="40"/>
      <c r="G260" s="40"/>
      <c r="H260" s="41"/>
      <c r="I260" s="40"/>
      <c r="J260" s="40"/>
      <c r="K260" s="41"/>
      <c r="L260" s="30" t="n">
        <v>0</v>
      </c>
      <c r="M260" s="20" t="n">
        <f aca="false">L260</f>
        <v>0</v>
      </c>
      <c r="N260" s="20" t="n">
        <f aca="false">M260</f>
        <v>0</v>
      </c>
      <c r="O260" s="20" t="n">
        <f aca="false">N260</f>
        <v>0</v>
      </c>
      <c r="P260" s="73" t="n">
        <f aca="false">O260</f>
        <v>0</v>
      </c>
    </row>
    <row r="261" customFormat="false" ht="15" hidden="false" customHeight="false" outlineLevel="0" collapsed="false">
      <c r="B261" s="537" t="str">
        <f aca="false">B236</f>
        <v>PIK Loan:</v>
      </c>
      <c r="C261" s="8"/>
      <c r="D261" s="8"/>
      <c r="E261" s="8"/>
      <c r="F261" s="40"/>
      <c r="G261" s="40"/>
      <c r="H261" s="41"/>
      <c r="I261" s="40"/>
      <c r="J261" s="40"/>
      <c r="K261" s="41"/>
      <c r="L261" s="30" t="n">
        <v>0</v>
      </c>
      <c r="M261" s="20" t="n">
        <f aca="false">L261</f>
        <v>0</v>
      </c>
      <c r="N261" s="20" t="n">
        <f aca="false">M261</f>
        <v>0</v>
      </c>
      <c r="O261" s="20" t="n">
        <f aca="false">N261</f>
        <v>0</v>
      </c>
      <c r="P261" s="73" t="n">
        <f aca="false">O261</f>
        <v>0</v>
      </c>
    </row>
    <row r="262" customFormat="false" ht="15" hidden="false" customHeight="false" outlineLevel="0" collapsed="false">
      <c r="B262" s="80" t="s">
        <v>435</v>
      </c>
      <c r="C262" s="8"/>
      <c r="D262" s="8"/>
      <c r="E262" s="8"/>
      <c r="F262" s="40"/>
      <c r="G262" s="40"/>
      <c r="H262" s="41"/>
      <c r="I262" s="40"/>
      <c r="J262" s="40"/>
      <c r="K262" s="41"/>
      <c r="L262" s="535" t="n">
        <f aca="false">SUM(L257:L261)</f>
        <v>8444.53</v>
      </c>
      <c r="M262" s="107" t="n">
        <f aca="false">SUM(M257:M261)</f>
        <v>22728.5925</v>
      </c>
      <c r="N262" s="107" t="n">
        <f aca="false">SUM(N257:N261)</f>
        <v>37939.255875</v>
      </c>
      <c r="O262" s="107" t="n">
        <f aca="false">SUM(O257:O261)</f>
        <v>51022.08</v>
      </c>
      <c r="P262" s="108" t="n">
        <f aca="false">SUM(P257:P261)</f>
        <v>51022.08</v>
      </c>
    </row>
    <row r="263" customFormat="false" ht="15" hidden="false" customHeight="false" outlineLevel="0" collapsed="false">
      <c r="B263" s="26"/>
      <c r="C263" s="8"/>
      <c r="D263" s="8"/>
      <c r="E263" s="8"/>
      <c r="F263" s="40"/>
      <c r="G263" s="40"/>
      <c r="H263" s="41"/>
      <c r="I263" s="40"/>
      <c r="J263" s="40"/>
      <c r="K263" s="41"/>
      <c r="L263" s="40"/>
      <c r="M263" s="40"/>
      <c r="N263" s="40"/>
      <c r="O263" s="40"/>
      <c r="P263" s="41"/>
    </row>
    <row r="264" customFormat="false" ht="15" hidden="false" customHeight="false" outlineLevel="0" collapsed="false">
      <c r="B264" s="74" t="s">
        <v>436</v>
      </c>
      <c r="C264" s="8"/>
      <c r="D264" s="8"/>
      <c r="E264" s="8"/>
      <c r="F264" s="40"/>
      <c r="G264" s="40"/>
      <c r="H264" s="41"/>
      <c r="I264" s="40"/>
      <c r="J264" s="40"/>
      <c r="K264" s="41"/>
      <c r="L264" s="70" t="n">
        <f aca="false">MAX(L244-L254-L262,0)</f>
        <v>0</v>
      </c>
      <c r="M264" s="70" t="n">
        <f aca="false">MAX(M244-M254-M262,0)</f>
        <v>0</v>
      </c>
      <c r="N264" s="70" t="n">
        <f aca="false">MAX(N244-N254-N262,0)</f>
        <v>0</v>
      </c>
      <c r="O264" s="70" t="n">
        <f aca="false">MAX(O244-O254-O262,0)</f>
        <v>3241.66020375001</v>
      </c>
      <c r="P264" s="71" t="n">
        <f aca="false">MAX(P244-P254-P262,0)</f>
        <v>20430.3155830125</v>
      </c>
    </row>
    <row r="265" customFormat="false" ht="15" hidden="false" customHeight="false" outlineLevel="0" collapsed="false">
      <c r="B265" s="44" t="s">
        <v>437</v>
      </c>
      <c r="C265" s="45"/>
      <c r="D265" s="45"/>
      <c r="E265" s="45"/>
      <c r="F265" s="38"/>
      <c r="G265" s="38"/>
      <c r="H265" s="39"/>
      <c r="I265" s="38"/>
      <c r="J265" s="38"/>
      <c r="K265" s="39"/>
      <c r="L265" s="538" t="n">
        <f aca="false">L264+L262+L254</f>
        <v>12795.25</v>
      </c>
      <c r="M265" s="120" t="n">
        <f aca="false">M264+M262+M254</f>
        <v>27079.3125</v>
      </c>
      <c r="N265" s="120" t="n">
        <f aca="false">N264+N262+N254</f>
        <v>42289.975875</v>
      </c>
      <c r="O265" s="120" t="n">
        <f aca="false">O264+O262+O254</f>
        <v>58614.46020375</v>
      </c>
      <c r="P265" s="121" t="n">
        <f aca="false">P264+P262+P254</f>
        <v>75803.1155830125</v>
      </c>
    </row>
    <row r="267" customFormat="false" ht="15" hidden="false" customHeight="false" outlineLevel="0" collapsed="false">
      <c r="B267" s="3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6"/>
    </row>
    <row r="268" customFormat="false" ht="15" hidden="false" customHeight="false" outlineLevel="0" collapsed="false">
      <c r="B268" s="462"/>
      <c r="C268" s="34"/>
      <c r="D268" s="34"/>
      <c r="E268" s="34"/>
      <c r="F268" s="534"/>
      <c r="G268" s="534"/>
      <c r="H268" s="458"/>
      <c r="I268" s="539"/>
      <c r="J268" s="539"/>
      <c r="K268" s="39"/>
      <c r="L268" s="539"/>
      <c r="M268" s="539"/>
      <c r="N268" s="539"/>
      <c r="O268" s="539"/>
      <c r="P268" s="540"/>
    </row>
    <row r="269" customFormat="false" ht="15" hidden="false" customHeight="false" outlineLevel="0" collapsed="false">
      <c r="B269" s="7"/>
      <c r="C269" s="8"/>
      <c r="D269" s="8"/>
      <c r="E269" s="8"/>
      <c r="F269" s="8"/>
      <c r="G269" s="8"/>
      <c r="H269" s="9"/>
      <c r="I269" s="8"/>
      <c r="J269" s="8"/>
      <c r="K269" s="9"/>
      <c r="L269" s="8"/>
      <c r="M269" s="8"/>
      <c r="N269" s="8"/>
      <c r="O269" s="8"/>
      <c r="P269" s="9"/>
    </row>
    <row r="270" customFormat="false" ht="15" hidden="false" customHeight="false" outlineLevel="0" collapsed="false">
      <c r="B270" s="7"/>
      <c r="C270" s="8"/>
      <c r="D270" s="8"/>
      <c r="E270" s="8"/>
      <c r="F270" s="8"/>
      <c r="G270" s="8"/>
      <c r="H270" s="9"/>
      <c r="I270" s="27"/>
      <c r="J270" s="27"/>
      <c r="K270" s="126"/>
      <c r="L270" s="8"/>
      <c r="M270" s="8"/>
      <c r="N270" s="8"/>
      <c r="O270" s="8"/>
      <c r="P270" s="126"/>
    </row>
    <row r="271" customFormat="false" ht="15" hidden="false" customHeight="false" outlineLevel="0" collapsed="false">
      <c r="B271" s="7"/>
      <c r="C271" s="8"/>
      <c r="D271" s="8"/>
      <c r="E271" s="8"/>
      <c r="F271" s="8"/>
      <c r="G271" s="8"/>
      <c r="H271" s="9"/>
      <c r="I271" s="152"/>
      <c r="J271" s="152"/>
      <c r="K271" s="43"/>
      <c r="L271" s="8"/>
      <c r="M271" s="8"/>
      <c r="N271" s="8"/>
      <c r="O271" s="8"/>
      <c r="P271" s="463"/>
    </row>
    <row r="272" customFormat="false" ht="15" hidden="false" customHeight="false" outlineLevel="0" collapsed="false">
      <c r="B272" s="7"/>
      <c r="C272" s="8"/>
      <c r="D272" s="8"/>
      <c r="E272" s="8"/>
      <c r="F272" s="8"/>
      <c r="G272" s="8"/>
      <c r="H272" s="9"/>
      <c r="I272" s="27"/>
      <c r="J272" s="27"/>
      <c r="K272" s="126"/>
      <c r="L272" s="8"/>
      <c r="M272" s="8"/>
      <c r="N272" s="8"/>
      <c r="O272" s="8"/>
      <c r="P272" s="126"/>
    </row>
    <row r="273" customFormat="false" ht="15" hidden="false" customHeight="false" outlineLevel="0" collapsed="false">
      <c r="B273" s="7"/>
      <c r="C273" s="8"/>
      <c r="D273" s="8"/>
      <c r="E273" s="8"/>
      <c r="F273" s="8"/>
      <c r="G273" s="8"/>
      <c r="H273" s="9"/>
      <c r="I273" s="27"/>
      <c r="J273" s="27"/>
      <c r="K273" s="126"/>
      <c r="L273" s="30"/>
      <c r="M273" s="30"/>
      <c r="N273" s="30"/>
      <c r="O273" s="30"/>
      <c r="P273" s="126"/>
    </row>
    <row r="274" customFormat="false" ht="15" hidden="false" customHeight="false" outlineLevel="0" collapsed="false">
      <c r="B274" s="7"/>
      <c r="C274" s="8"/>
      <c r="D274" s="8"/>
      <c r="E274" s="8"/>
      <c r="F274" s="8"/>
      <c r="G274" s="8"/>
      <c r="H274" s="9"/>
      <c r="I274" s="8"/>
      <c r="J274" s="8"/>
      <c r="K274" s="9"/>
      <c r="L274" s="8"/>
      <c r="M274" s="8"/>
      <c r="N274" s="8"/>
      <c r="O274" s="8"/>
      <c r="P274" s="9"/>
    </row>
    <row r="275" customFormat="false" ht="15" hidden="false" customHeight="false" outlineLevel="0" collapsed="false">
      <c r="B275" s="44"/>
      <c r="C275" s="45"/>
      <c r="D275" s="45"/>
      <c r="E275" s="45"/>
      <c r="F275" s="45"/>
      <c r="G275" s="45"/>
      <c r="H275" s="364"/>
      <c r="I275" s="541"/>
      <c r="J275" s="541"/>
      <c r="K275" s="464"/>
      <c r="L275" s="45"/>
      <c r="M275" s="45"/>
      <c r="N275" s="45"/>
      <c r="O275" s="45"/>
      <c r="P275" s="364"/>
    </row>
    <row r="277" customFormat="false" ht="15" hidden="false" customHeight="false" outlineLevel="0" collapsed="false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5" hidden="false" customHeight="false" outlineLevel="0" collapsed="false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5" hidden="false" customHeight="false" outlineLevel="0" collapsed="false">
      <c r="B279" s="408"/>
      <c r="C279" s="409"/>
      <c r="D279" s="409"/>
      <c r="E279" s="542"/>
      <c r="F279" s="542"/>
      <c r="G279" s="542"/>
      <c r="H279" s="542"/>
      <c r="I279" s="542"/>
      <c r="J279" s="542"/>
      <c r="K279" s="542"/>
      <c r="L279" s="542"/>
      <c r="M279" s="410"/>
      <c r="N279" s="543"/>
      <c r="O279" s="543"/>
      <c r="P279" s="543"/>
    </row>
    <row r="280" customFormat="false" ht="15" hidden="false" customHeight="false" outlineLevel="0" collapsed="false">
      <c r="B280" s="411"/>
      <c r="C280" s="412"/>
      <c r="D280" s="465"/>
      <c r="E280" s="466"/>
      <c r="F280" s="466"/>
      <c r="G280" s="466"/>
      <c r="H280" s="466"/>
      <c r="I280" s="466"/>
      <c r="J280" s="466"/>
      <c r="K280" s="466"/>
      <c r="L280" s="466"/>
      <c r="M280" s="544"/>
      <c r="N280" s="360"/>
      <c r="O280" s="360"/>
      <c r="P280" s="360"/>
    </row>
    <row r="281" customFormat="false" ht="15" hidden="false" customHeight="false" outlineLevel="0" collapsed="false">
      <c r="B281" s="415"/>
      <c r="C281" s="416"/>
      <c r="D281" s="467"/>
      <c r="E281" s="417"/>
      <c r="F281" s="418"/>
      <c r="G281" s="418"/>
      <c r="H281" s="418"/>
      <c r="I281" s="418"/>
      <c r="J281" s="418"/>
      <c r="K281" s="418"/>
      <c r="L281" s="418"/>
      <c r="M281" s="419"/>
      <c r="N281" s="545"/>
      <c r="O281" s="545"/>
      <c r="P281" s="545"/>
    </row>
    <row r="282" customFormat="false" ht="15" hidden="false" customHeight="false" outlineLevel="0" collapsed="false">
      <c r="B282" s="415"/>
      <c r="C282" s="416"/>
      <c r="D282" s="467"/>
      <c r="E282" s="420"/>
      <c r="F282" s="421"/>
      <c r="G282" s="421"/>
      <c r="H282" s="421"/>
      <c r="I282" s="421"/>
      <c r="J282" s="421"/>
      <c r="K282" s="421"/>
      <c r="L282" s="421"/>
      <c r="M282" s="422"/>
      <c r="N282" s="545"/>
      <c r="O282" s="545"/>
      <c r="P282" s="545"/>
    </row>
    <row r="283" customFormat="false" ht="15" hidden="false" customHeight="false" outlineLevel="0" collapsed="false">
      <c r="B283" s="415"/>
      <c r="C283" s="416"/>
      <c r="D283" s="467"/>
      <c r="E283" s="420"/>
      <c r="F283" s="421"/>
      <c r="G283" s="421"/>
      <c r="H283" s="421"/>
      <c r="I283" s="421"/>
      <c r="J283" s="421"/>
      <c r="K283" s="421"/>
      <c r="L283" s="421"/>
      <c r="M283" s="422"/>
      <c r="N283" s="545"/>
      <c r="O283" s="545"/>
      <c r="P283" s="545"/>
    </row>
    <row r="284" customFormat="false" ht="15" hidden="false" customHeight="false" outlineLevel="0" collapsed="false">
      <c r="B284" s="415"/>
      <c r="C284" s="416"/>
      <c r="D284" s="467"/>
      <c r="E284" s="420"/>
      <c r="F284" s="421"/>
      <c r="G284" s="421"/>
      <c r="H284" s="421"/>
      <c r="I284" s="421"/>
      <c r="J284" s="421"/>
      <c r="K284" s="421"/>
      <c r="L284" s="421"/>
      <c r="M284" s="422"/>
      <c r="N284" s="545"/>
      <c r="O284" s="545"/>
      <c r="P284" s="545"/>
    </row>
    <row r="285" customFormat="false" ht="15" hidden="false" customHeight="false" outlineLevel="0" collapsed="false">
      <c r="B285" s="415"/>
      <c r="C285" s="416"/>
      <c r="D285" s="467"/>
      <c r="E285" s="420"/>
      <c r="F285" s="421"/>
      <c r="G285" s="421"/>
      <c r="H285" s="421"/>
      <c r="I285" s="421"/>
      <c r="J285" s="421"/>
      <c r="K285" s="421"/>
      <c r="L285" s="421"/>
      <c r="M285" s="422"/>
      <c r="N285" s="545"/>
      <c r="O285" s="545"/>
      <c r="P285" s="545"/>
    </row>
    <row r="286" customFormat="false" ht="15" hidden="false" customHeight="false" outlineLevel="0" collapsed="false">
      <c r="B286" s="415"/>
      <c r="C286" s="416"/>
      <c r="D286" s="467"/>
      <c r="E286" s="420"/>
      <c r="F286" s="421"/>
      <c r="G286" s="421"/>
      <c r="H286" s="421"/>
      <c r="I286" s="421"/>
      <c r="J286" s="421"/>
      <c r="K286" s="421"/>
      <c r="L286" s="421"/>
      <c r="M286" s="422"/>
      <c r="N286" s="545"/>
      <c r="O286" s="545"/>
      <c r="P286" s="545"/>
    </row>
    <row r="287" customFormat="false" ht="15" hidden="false" customHeight="false" outlineLevel="0" collapsed="false">
      <c r="B287" s="415"/>
      <c r="C287" s="416"/>
      <c r="D287" s="467"/>
      <c r="E287" s="420"/>
      <c r="F287" s="421"/>
      <c r="G287" s="421"/>
      <c r="H287" s="421"/>
      <c r="I287" s="421"/>
      <c r="J287" s="421"/>
      <c r="K287" s="421"/>
      <c r="L287" s="421"/>
      <c r="M287" s="422"/>
      <c r="N287" s="545"/>
      <c r="O287" s="545"/>
      <c r="P287" s="545"/>
    </row>
    <row r="288" customFormat="false" ht="15" hidden="false" customHeight="false" outlineLevel="0" collapsed="false">
      <c r="B288" s="415"/>
      <c r="C288" s="416"/>
      <c r="D288" s="467"/>
      <c r="E288" s="420"/>
      <c r="F288" s="421"/>
      <c r="G288" s="421"/>
      <c r="H288" s="421"/>
      <c r="I288" s="421"/>
      <c r="J288" s="421"/>
      <c r="K288" s="421"/>
      <c r="L288" s="421"/>
      <c r="M288" s="422"/>
      <c r="N288" s="545"/>
      <c r="O288" s="545"/>
      <c r="P288" s="545"/>
    </row>
    <row r="289" customFormat="false" ht="15" hidden="false" customHeight="false" outlineLevel="0" collapsed="false">
      <c r="B289" s="415"/>
      <c r="C289" s="416"/>
      <c r="D289" s="467"/>
      <c r="E289" s="420"/>
      <c r="F289" s="421"/>
      <c r="G289" s="421"/>
      <c r="H289" s="421"/>
      <c r="I289" s="421"/>
      <c r="J289" s="421"/>
      <c r="K289" s="421"/>
      <c r="L289" s="421"/>
      <c r="M289" s="422"/>
      <c r="N289" s="545"/>
      <c r="O289" s="545"/>
      <c r="P289" s="545"/>
    </row>
    <row r="290" customFormat="false" ht="15" hidden="false" customHeight="false" outlineLevel="0" collapsed="false">
      <c r="B290" s="415"/>
      <c r="C290" s="468"/>
      <c r="D290" s="469"/>
      <c r="E290" s="424"/>
      <c r="F290" s="425"/>
      <c r="G290" s="425"/>
      <c r="H290" s="425"/>
      <c r="I290" s="425"/>
      <c r="J290" s="425"/>
      <c r="K290" s="425"/>
      <c r="L290" s="425"/>
      <c r="M290" s="426"/>
      <c r="N290" s="545"/>
      <c r="O290" s="545"/>
      <c r="P290" s="545"/>
    </row>
    <row r="292" customFormat="false" ht="15" hidden="false" customHeight="false" outlineLevel="0" collapsed="false">
      <c r="B292" s="1"/>
    </row>
    <row r="294" customFormat="false" ht="15" hidden="false" customHeight="false" outlineLevel="0" collapsed="false">
      <c r="B294" s="408"/>
      <c r="C294" s="409"/>
      <c r="D294" s="409"/>
      <c r="E294" s="542"/>
      <c r="F294" s="542"/>
      <c r="G294" s="542"/>
      <c r="H294" s="542"/>
      <c r="I294" s="542"/>
      <c r="J294" s="542"/>
      <c r="K294" s="542"/>
      <c r="L294" s="542"/>
      <c r="M294" s="410"/>
      <c r="N294" s="546"/>
      <c r="O294" s="543"/>
      <c r="P294" s="543"/>
    </row>
    <row r="295" customFormat="false" ht="15" hidden="false" customHeight="false" outlineLevel="0" collapsed="false">
      <c r="B295" s="411"/>
      <c r="C295" s="412"/>
      <c r="D295" s="465"/>
      <c r="E295" s="466"/>
      <c r="F295" s="466"/>
      <c r="G295" s="466"/>
      <c r="H295" s="466"/>
      <c r="I295" s="466"/>
      <c r="J295" s="466"/>
      <c r="K295" s="466"/>
      <c r="L295" s="466"/>
      <c r="M295" s="544"/>
      <c r="N295" s="474"/>
      <c r="O295" s="360"/>
      <c r="P295" s="360"/>
    </row>
    <row r="296" customFormat="false" ht="15" hidden="false" customHeight="false" outlineLevel="0" collapsed="false">
      <c r="B296" s="415"/>
      <c r="C296" s="416"/>
      <c r="D296" s="467"/>
      <c r="E296" s="417"/>
      <c r="F296" s="418"/>
      <c r="G296" s="418"/>
      <c r="H296" s="418"/>
      <c r="I296" s="418"/>
      <c r="J296" s="418"/>
      <c r="K296" s="418"/>
      <c r="L296" s="418"/>
      <c r="M296" s="419"/>
      <c r="N296" s="420"/>
      <c r="O296" s="421"/>
      <c r="P296" s="421"/>
    </row>
    <row r="297" customFormat="false" ht="15" hidden="false" customHeight="false" outlineLevel="0" collapsed="false">
      <c r="B297" s="415"/>
      <c r="C297" s="416"/>
      <c r="D297" s="467"/>
      <c r="E297" s="420"/>
      <c r="F297" s="421"/>
      <c r="G297" s="421"/>
      <c r="H297" s="421"/>
      <c r="I297" s="421"/>
      <c r="J297" s="421"/>
      <c r="K297" s="421"/>
      <c r="L297" s="421"/>
      <c r="M297" s="422"/>
      <c r="N297" s="420"/>
      <c r="O297" s="421"/>
      <c r="P297" s="421"/>
    </row>
    <row r="298" customFormat="false" ht="15" hidden="false" customHeight="false" outlineLevel="0" collapsed="false">
      <c r="B298" s="415"/>
      <c r="C298" s="416"/>
      <c r="D298" s="467"/>
      <c r="E298" s="420"/>
      <c r="F298" s="421"/>
      <c r="G298" s="421"/>
      <c r="H298" s="421"/>
      <c r="I298" s="421"/>
      <c r="J298" s="421"/>
      <c r="K298" s="421"/>
      <c r="L298" s="421"/>
      <c r="M298" s="422"/>
      <c r="N298" s="420"/>
      <c r="O298" s="421"/>
      <c r="P298" s="421"/>
    </row>
    <row r="299" customFormat="false" ht="15" hidden="false" customHeight="false" outlineLevel="0" collapsed="false">
      <c r="B299" s="415"/>
      <c r="C299" s="416"/>
      <c r="D299" s="467"/>
      <c r="E299" s="420"/>
      <c r="F299" s="421"/>
      <c r="G299" s="421"/>
      <c r="H299" s="421"/>
      <c r="I299" s="421"/>
      <c r="J299" s="421"/>
      <c r="K299" s="421"/>
      <c r="L299" s="421"/>
      <c r="M299" s="422"/>
      <c r="N299" s="420"/>
      <c r="O299" s="421"/>
      <c r="P299" s="421"/>
    </row>
    <row r="300" customFormat="false" ht="15" hidden="false" customHeight="false" outlineLevel="0" collapsed="false">
      <c r="B300" s="415"/>
      <c r="C300" s="416"/>
      <c r="D300" s="467"/>
      <c r="E300" s="420"/>
      <c r="F300" s="421"/>
      <c r="G300" s="421"/>
      <c r="H300" s="421"/>
      <c r="I300" s="421"/>
      <c r="J300" s="421"/>
      <c r="K300" s="421"/>
      <c r="L300" s="421"/>
      <c r="M300" s="422"/>
      <c r="N300" s="420"/>
      <c r="O300" s="421"/>
      <c r="P300" s="421"/>
    </row>
    <row r="301" customFormat="false" ht="15" hidden="false" customHeight="false" outlineLevel="0" collapsed="false">
      <c r="B301" s="415"/>
      <c r="C301" s="416"/>
      <c r="D301" s="467"/>
      <c r="E301" s="420"/>
      <c r="F301" s="421"/>
      <c r="G301" s="421"/>
      <c r="H301" s="421"/>
      <c r="I301" s="421"/>
      <c r="J301" s="421"/>
      <c r="K301" s="421"/>
      <c r="L301" s="421"/>
      <c r="M301" s="422"/>
      <c r="N301" s="420"/>
      <c r="O301" s="421"/>
      <c r="P301" s="421"/>
    </row>
    <row r="302" customFormat="false" ht="15" hidden="false" customHeight="false" outlineLevel="0" collapsed="false">
      <c r="B302" s="415"/>
      <c r="C302" s="416"/>
      <c r="D302" s="467"/>
      <c r="E302" s="420"/>
      <c r="F302" s="421"/>
      <c r="G302" s="421"/>
      <c r="H302" s="421"/>
      <c r="I302" s="421"/>
      <c r="J302" s="421"/>
      <c r="K302" s="421"/>
      <c r="L302" s="421"/>
      <c r="M302" s="422"/>
      <c r="N302" s="420"/>
      <c r="O302" s="421"/>
      <c r="P302" s="421"/>
    </row>
    <row r="303" customFormat="false" ht="15" hidden="false" customHeight="false" outlineLevel="0" collapsed="false">
      <c r="B303" s="415"/>
      <c r="C303" s="416"/>
      <c r="D303" s="467"/>
      <c r="E303" s="420"/>
      <c r="F303" s="421"/>
      <c r="G303" s="421"/>
      <c r="H303" s="421"/>
      <c r="I303" s="421"/>
      <c r="J303" s="421"/>
      <c r="K303" s="421"/>
      <c r="L303" s="421"/>
      <c r="M303" s="422"/>
      <c r="N303" s="420"/>
      <c r="O303" s="421"/>
      <c r="P303" s="421"/>
    </row>
    <row r="304" customFormat="false" ht="15" hidden="false" customHeight="false" outlineLevel="0" collapsed="false">
      <c r="B304" s="415"/>
      <c r="C304" s="416"/>
      <c r="D304" s="467"/>
      <c r="E304" s="420"/>
      <c r="F304" s="421"/>
      <c r="G304" s="421"/>
      <c r="H304" s="421"/>
      <c r="I304" s="421"/>
      <c r="J304" s="421"/>
      <c r="K304" s="421"/>
      <c r="L304" s="421"/>
      <c r="M304" s="422"/>
      <c r="N304" s="420"/>
      <c r="O304" s="421"/>
      <c r="P304" s="421"/>
    </row>
    <row r="305" customFormat="false" ht="15" hidden="false" customHeight="false" outlineLevel="0" collapsed="false">
      <c r="B305" s="415"/>
      <c r="C305" s="468"/>
      <c r="D305" s="469"/>
      <c r="E305" s="424"/>
      <c r="F305" s="425"/>
      <c r="G305" s="425"/>
      <c r="H305" s="425"/>
      <c r="I305" s="425"/>
      <c r="J305" s="425"/>
      <c r="K305" s="425"/>
      <c r="L305" s="425"/>
      <c r="M305" s="426"/>
      <c r="N305" s="420"/>
      <c r="O305" s="421"/>
      <c r="P305" s="421"/>
    </row>
  </sheetData>
  <mergeCells count="22">
    <mergeCell ref="B13:E13"/>
    <mergeCell ref="B34:F34"/>
    <mergeCell ref="H34:L34"/>
    <mergeCell ref="B43:F43"/>
    <mergeCell ref="H43:L43"/>
    <mergeCell ref="F73:H73"/>
    <mergeCell ref="I73:K73"/>
    <mergeCell ref="L73:P73"/>
    <mergeCell ref="F100:H100"/>
    <mergeCell ref="I100:K100"/>
    <mergeCell ref="L100:P100"/>
    <mergeCell ref="G127:H127"/>
    <mergeCell ref="I127:K127"/>
    <mergeCell ref="L127:P127"/>
    <mergeCell ref="B129:D129"/>
    <mergeCell ref="B148:E148"/>
    <mergeCell ref="F181:H181"/>
    <mergeCell ref="I181:K181"/>
    <mergeCell ref="L181:P181"/>
    <mergeCell ref="L219:P219"/>
    <mergeCell ref="B281:B290"/>
    <mergeCell ref="B296:B30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2009-06-26T13:31:17Z</dcterms:created>
  <dc:description/>
  <dc:language>en-US</dc:language>
  <cp:lastPrinted>2010-03-29T01:16:56Z</cp:lastPrinted>
  <dcterms:modified xsi:type="dcterms:W3CDTF">2010-04-14T16:46:10Z</dcterms:modified>
  <cp:revision>0</cp:revision>
  <dc:subject/>
  <dc:title/>
</cp:coreProperties>
</file>